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vincentfindeiss/Downloads/"/>
    </mc:Choice>
  </mc:AlternateContent>
  <xr:revisionPtr revIDLastSave="0" documentId="13_ncr:1_{6E941473-5C75-7648-9E2D-E39A053B5273}" xr6:coauthVersionLast="47" xr6:coauthVersionMax="47" xr10:uidLastSave="{00000000-0000-0000-0000-000000000000}"/>
  <bookViews>
    <workbookView xWindow="0" yWindow="500" windowWidth="28800" windowHeight="16320" activeTab="3" xr2:uid="{00000000-000D-0000-FFFF-FFFF00000000}"/>
  </bookViews>
  <sheets>
    <sheet name="Sheet1" sheetId="1" r:id="rId1"/>
    <sheet name="Sorted" sheetId="2" r:id="rId2"/>
    <sheet name="Old Selection" sheetId="3" r:id="rId3"/>
    <sheet name="Final Selection" sheetId="4" r:id="rId4"/>
  </sheets>
  <definedNames>
    <definedName name="_xlnm._FilterDatabase" localSheetId="3" hidden="1">'Final Selection'!$A$1:$AF$21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2" i="4" l="1"/>
  <c r="AE32" i="4" s="1"/>
  <c r="AC32" i="4"/>
  <c r="AD31" i="4"/>
  <c r="AC31" i="4"/>
  <c r="AE31" i="4" s="1"/>
  <c r="AD30" i="4"/>
  <c r="AC30" i="4"/>
  <c r="AE30" i="4" s="1"/>
  <c r="AD24" i="4"/>
  <c r="AC24" i="4"/>
  <c r="AD23" i="4"/>
  <c r="AC23" i="4"/>
  <c r="G91" i="2"/>
  <c r="AD21" i="4"/>
  <c r="AC21" i="4"/>
  <c r="AD20" i="4"/>
  <c r="AC20" i="4"/>
  <c r="AD19" i="4"/>
  <c r="AC19" i="4"/>
  <c r="AD18" i="4"/>
  <c r="AC18" i="4"/>
  <c r="AD17" i="4"/>
  <c r="AC17" i="4"/>
  <c r="AD16" i="4"/>
  <c r="AC16" i="4"/>
  <c r="AD15" i="4"/>
  <c r="AC15" i="4"/>
  <c r="AD14" i="4"/>
  <c r="AC14" i="4"/>
  <c r="AD13" i="4"/>
  <c r="AC13" i="4"/>
  <c r="AD12" i="4"/>
  <c r="AC12" i="4"/>
  <c r="AD11" i="4"/>
  <c r="AC11" i="4"/>
  <c r="AD10" i="4"/>
  <c r="AC10" i="4"/>
  <c r="AD9" i="4"/>
  <c r="AC9" i="4"/>
  <c r="AD8" i="4"/>
  <c r="AC8" i="4"/>
  <c r="AD7" i="4"/>
  <c r="AC7" i="4"/>
  <c r="AD6" i="4"/>
  <c r="AC6" i="4"/>
  <c r="AD5" i="4"/>
  <c r="AC5" i="4"/>
  <c r="AD4" i="4"/>
  <c r="AC4" i="4"/>
  <c r="AD3" i="4"/>
  <c r="AC3" i="4"/>
  <c r="AD2" i="4"/>
  <c r="AC2" i="4"/>
  <c r="AE39" i="3"/>
  <c r="AD39" i="3"/>
  <c r="AC39" i="3"/>
  <c r="AE38" i="3"/>
  <c r="AD38" i="3"/>
  <c r="AC38" i="3"/>
  <c r="AD37" i="3"/>
  <c r="AC37" i="3"/>
  <c r="AE37" i="3" s="1"/>
  <c r="AD36" i="3"/>
  <c r="AC36" i="3"/>
  <c r="AE36" i="3" s="1"/>
  <c r="AE35" i="3"/>
  <c r="AD35" i="3"/>
  <c r="AC35" i="3"/>
  <c r="AD34" i="3"/>
  <c r="AE34" i="3" s="1"/>
  <c r="AC34" i="3"/>
  <c r="AD33" i="3"/>
  <c r="AC33" i="3"/>
  <c r="AE33" i="3" s="1"/>
  <c r="AD32" i="3"/>
  <c r="AC32" i="3"/>
  <c r="AE32" i="3" s="1"/>
  <c r="AE29" i="3"/>
  <c r="AD29" i="3"/>
  <c r="AC29" i="3"/>
  <c r="AE28" i="3"/>
  <c r="AD28" i="3"/>
  <c r="AC28" i="3"/>
  <c r="AD25" i="3"/>
  <c r="AC25" i="3"/>
  <c r="AE25" i="3" s="1"/>
  <c r="AD24" i="3"/>
  <c r="AC24" i="3"/>
  <c r="AE24" i="3" s="1"/>
  <c r="AE22" i="3"/>
  <c r="AD22" i="3"/>
  <c r="AC22" i="3"/>
  <c r="AD21" i="3"/>
  <c r="AE21" i="3" s="1"/>
  <c r="AC21" i="3"/>
  <c r="AD20" i="3"/>
  <c r="AC20" i="3"/>
  <c r="AE20" i="3" s="1"/>
  <c r="AD19" i="3"/>
  <c r="AC19" i="3"/>
  <c r="AE19" i="3" s="1"/>
  <c r="AE18" i="3"/>
  <c r="AD18" i="3"/>
  <c r="AC18" i="3"/>
  <c r="AE17" i="3"/>
  <c r="AD17" i="3"/>
  <c r="AC17" i="3"/>
  <c r="AD16" i="3"/>
  <c r="AC16" i="3"/>
  <c r="AE16" i="3" s="1"/>
  <c r="AD15" i="3"/>
  <c r="AC15" i="3"/>
  <c r="AE15" i="3" s="1"/>
  <c r="AE14" i="3"/>
  <c r="AD14" i="3"/>
  <c r="AC14" i="3"/>
  <c r="AD13" i="3"/>
  <c r="AE13" i="3" s="1"/>
  <c r="AC13" i="3"/>
  <c r="AD12" i="3"/>
  <c r="AC12" i="3"/>
  <c r="AE12" i="3" s="1"/>
  <c r="AD11" i="3"/>
  <c r="AC11" i="3"/>
  <c r="AE11" i="3" s="1"/>
  <c r="AE10" i="3"/>
  <c r="AD10" i="3"/>
  <c r="AC10" i="3"/>
  <c r="AE9" i="3"/>
  <c r="AD9" i="3"/>
  <c r="AC9" i="3"/>
  <c r="AD8" i="3"/>
  <c r="AC8" i="3"/>
  <c r="AE8" i="3" s="1"/>
  <c r="AD7" i="3"/>
  <c r="AC7" i="3"/>
  <c r="AE7" i="3" s="1"/>
  <c r="AE6" i="3"/>
  <c r="AD6" i="3"/>
  <c r="AC6" i="3"/>
  <c r="AD5" i="3"/>
  <c r="AE5" i="3" s="1"/>
  <c r="AC5" i="3"/>
  <c r="AD4" i="3"/>
  <c r="AC4" i="3"/>
  <c r="AE4" i="3" s="1"/>
  <c r="AD3" i="3"/>
  <c r="AC3" i="3"/>
  <c r="AE3" i="3" s="1"/>
  <c r="AE121" i="2"/>
  <c r="AD121" i="2"/>
  <c r="AC121" i="2"/>
  <c r="AE120" i="2"/>
  <c r="AD120" i="2"/>
  <c r="AC120" i="2"/>
  <c r="AD119" i="2"/>
  <c r="AC119" i="2"/>
  <c r="AE119" i="2" s="1"/>
  <c r="AD118" i="2"/>
  <c r="AC118" i="2"/>
  <c r="AE118" i="2" s="1"/>
  <c r="AE117" i="2"/>
  <c r="AD117" i="2"/>
  <c r="AC117" i="2"/>
  <c r="AD116" i="2"/>
  <c r="AE116" i="2" s="1"/>
  <c r="AC116" i="2"/>
  <c r="AD115" i="2"/>
  <c r="AC115" i="2"/>
  <c r="AE115" i="2" s="1"/>
  <c r="AD114" i="2"/>
  <c r="AC114" i="2"/>
  <c r="AE114" i="2" s="1"/>
  <c r="AE113" i="2"/>
  <c r="AD113" i="2"/>
  <c r="AC113" i="2"/>
  <c r="AE112" i="2"/>
  <c r="AD112" i="2"/>
  <c r="AC112" i="2"/>
  <c r="AD111" i="2"/>
  <c r="AC111" i="2"/>
  <c r="AE111" i="2" s="1"/>
  <c r="AD110" i="2"/>
  <c r="AC110" i="2"/>
  <c r="AE110" i="2" s="1"/>
  <c r="AE109" i="2"/>
  <c r="AD109" i="2"/>
  <c r="AC109" i="2"/>
  <c r="AD108" i="2"/>
  <c r="AE108" i="2" s="1"/>
  <c r="AC108" i="2"/>
  <c r="AD107" i="2"/>
  <c r="AC107" i="2"/>
  <c r="AE107" i="2" s="1"/>
  <c r="AD106" i="2"/>
  <c r="AC106" i="2"/>
  <c r="AE106" i="2" s="1"/>
  <c r="AE105" i="2"/>
  <c r="AD105" i="2"/>
  <c r="AC105" i="2"/>
  <c r="AE104" i="2"/>
  <c r="AD104" i="2"/>
  <c r="AC104" i="2"/>
  <c r="AD103" i="2"/>
  <c r="AC103" i="2"/>
  <c r="AE103" i="2" s="1"/>
  <c r="AD102" i="2"/>
  <c r="AC102" i="2"/>
  <c r="AE102" i="2" s="1"/>
  <c r="AE101" i="2"/>
  <c r="AD101" i="2"/>
  <c r="AC101" i="2"/>
  <c r="AD100" i="2"/>
  <c r="AE100" i="2" s="1"/>
  <c r="AC100" i="2"/>
  <c r="AD99" i="2"/>
  <c r="AC99" i="2"/>
  <c r="AE99" i="2" s="1"/>
  <c r="AD98" i="2"/>
  <c r="AC98" i="2"/>
  <c r="AE98" i="2" s="1"/>
  <c r="AE97" i="2"/>
  <c r="AD97" i="2"/>
  <c r="AC97" i="2"/>
  <c r="AE96" i="2"/>
  <c r="AD96" i="2"/>
  <c r="AC96" i="2"/>
  <c r="AD95" i="2"/>
  <c r="AC95" i="2"/>
  <c r="AE95" i="2" s="1"/>
  <c r="AD94" i="2"/>
  <c r="AC94" i="2"/>
  <c r="AE94" i="2" s="1"/>
  <c r="AE93" i="2"/>
  <c r="AD93" i="2"/>
  <c r="AC93" i="2"/>
  <c r="AD92" i="2"/>
  <c r="AE92" i="2" s="1"/>
  <c r="AC92" i="2"/>
  <c r="AD91" i="2"/>
  <c r="AC91" i="2"/>
  <c r="AE91" i="2" s="1"/>
  <c r="AD90" i="2"/>
  <c r="AC90" i="2"/>
  <c r="AE90" i="2" s="1"/>
  <c r="AE89" i="2"/>
  <c r="AD89" i="2"/>
  <c r="AC89" i="2"/>
  <c r="AE88" i="2"/>
  <c r="AD88" i="2"/>
  <c r="AC88" i="2"/>
  <c r="AD87" i="2"/>
  <c r="AC87" i="2"/>
  <c r="AE87" i="2" s="1"/>
  <c r="AD86" i="2"/>
  <c r="AC86" i="2"/>
  <c r="AE86" i="2" s="1"/>
  <c r="AE85" i="2"/>
  <c r="AD85" i="2"/>
  <c r="AC85" i="2"/>
  <c r="AD84" i="2"/>
  <c r="AE84" i="2" s="1"/>
  <c r="AC84" i="2"/>
  <c r="AD83" i="2"/>
  <c r="AC83" i="2"/>
  <c r="AE83" i="2" s="1"/>
  <c r="AD82" i="2"/>
  <c r="AC82" i="2"/>
  <c r="AE82" i="2" s="1"/>
  <c r="AE81" i="2"/>
  <c r="AD81" i="2"/>
  <c r="AC81" i="2"/>
  <c r="AE80" i="2"/>
  <c r="AD80" i="2"/>
  <c r="AC80" i="2"/>
  <c r="AD79" i="2"/>
  <c r="AC79" i="2"/>
  <c r="AE79" i="2" s="1"/>
  <c r="AD78" i="2"/>
  <c r="AC78" i="2"/>
  <c r="AE78" i="2" s="1"/>
  <c r="AE77" i="2"/>
  <c r="AD77" i="2"/>
  <c r="AC77" i="2"/>
  <c r="AD76" i="2"/>
  <c r="AE76" i="2" s="1"/>
  <c r="AC76" i="2"/>
  <c r="AD75" i="2"/>
  <c r="AC75" i="2"/>
  <c r="AE75" i="2" s="1"/>
  <c r="AD74" i="2"/>
  <c r="AC74" i="2"/>
  <c r="AE74" i="2" s="1"/>
  <c r="AE73" i="2"/>
  <c r="AD73" i="2"/>
  <c r="AC73" i="2"/>
  <c r="AE72" i="2"/>
  <c r="AD72" i="2"/>
  <c r="AC72" i="2"/>
  <c r="AD71" i="2"/>
  <c r="AC71" i="2"/>
  <c r="AE71" i="2" s="1"/>
  <c r="AD70" i="2"/>
  <c r="AC70" i="2"/>
  <c r="AE70" i="2" s="1"/>
  <c r="AE69" i="2"/>
  <c r="AD69" i="2"/>
  <c r="AC69" i="2"/>
  <c r="AD68" i="2"/>
  <c r="AE68" i="2" s="1"/>
  <c r="AC68" i="2"/>
  <c r="AD67" i="2"/>
  <c r="AC67" i="2"/>
  <c r="AE67" i="2" s="1"/>
  <c r="AD66" i="2"/>
  <c r="AC66" i="2"/>
  <c r="AE66" i="2" s="1"/>
  <c r="AE65" i="2"/>
  <c r="AD65" i="2"/>
  <c r="AC65" i="2"/>
  <c r="AE64" i="2"/>
  <c r="AD64" i="2"/>
  <c r="AC64" i="2"/>
  <c r="AD63" i="2"/>
  <c r="AC63" i="2"/>
  <c r="AE63" i="2" s="1"/>
  <c r="AD62" i="2"/>
  <c r="AC62" i="2"/>
  <c r="AE62" i="2" s="1"/>
  <c r="AE61" i="2"/>
  <c r="AD61" i="2"/>
  <c r="AC61" i="2"/>
  <c r="AD60" i="2"/>
  <c r="AE60" i="2" s="1"/>
  <c r="AC60" i="2"/>
  <c r="AD59" i="2"/>
  <c r="AC59" i="2"/>
  <c r="AE59" i="2" s="1"/>
  <c r="AD58" i="2"/>
  <c r="AC58" i="2"/>
  <c r="AE58" i="2" s="1"/>
  <c r="AE57" i="2"/>
  <c r="AD57" i="2"/>
  <c r="AC57" i="2"/>
  <c r="AD56" i="2"/>
  <c r="AE56" i="2" s="1"/>
  <c r="AC56" i="2"/>
  <c r="AD55" i="2"/>
  <c r="AC55" i="2"/>
  <c r="AE55" i="2" s="1"/>
  <c r="AD54" i="2"/>
  <c r="AC54" i="2"/>
  <c r="AE54" i="2" s="1"/>
  <c r="AD53" i="2"/>
  <c r="AC53" i="2"/>
  <c r="AE53" i="2" s="1"/>
  <c r="AD52" i="2"/>
  <c r="AE52" i="2" s="1"/>
  <c r="AC52" i="2"/>
  <c r="AD51" i="2"/>
  <c r="AC51" i="2"/>
  <c r="AE51" i="2" s="1"/>
  <c r="AD50" i="2"/>
  <c r="AC50" i="2"/>
  <c r="AE50" i="2" s="1"/>
  <c r="AE49" i="2"/>
  <c r="AD49" i="2"/>
  <c r="AC49" i="2"/>
  <c r="AE48" i="2"/>
  <c r="AD48" i="2"/>
  <c r="AC48" i="2"/>
  <c r="AD47" i="2"/>
  <c r="AC47" i="2"/>
  <c r="AE47" i="2" s="1"/>
  <c r="AD46" i="2"/>
  <c r="AC46" i="2"/>
  <c r="AE46" i="2" s="1"/>
  <c r="AE45" i="2"/>
  <c r="AD45" i="2"/>
  <c r="AC45" i="2"/>
  <c r="AD44" i="2"/>
  <c r="AE44" i="2" s="1"/>
  <c r="AC44" i="2"/>
  <c r="AD43" i="2"/>
  <c r="AC43" i="2"/>
  <c r="AE43" i="2" s="1"/>
  <c r="AD42" i="2"/>
  <c r="AC42" i="2"/>
  <c r="AE42" i="2" s="1"/>
  <c r="AE41" i="2"/>
  <c r="AD41" i="2"/>
  <c r="AC41" i="2"/>
  <c r="AE40" i="2"/>
  <c r="AD40" i="2"/>
  <c r="AC40" i="2"/>
  <c r="AD39" i="2"/>
  <c r="AC39" i="2"/>
  <c r="AE39" i="2" s="1"/>
  <c r="AD38" i="2"/>
  <c r="AC38" i="2"/>
  <c r="AE38" i="2" s="1"/>
  <c r="AE37" i="2"/>
  <c r="AD37" i="2"/>
  <c r="AC37" i="2"/>
  <c r="AD36" i="2"/>
  <c r="AE36" i="2" s="1"/>
  <c r="AC36" i="2"/>
  <c r="AD35" i="2"/>
  <c r="AC35" i="2"/>
  <c r="AE35" i="2" s="1"/>
  <c r="AD34" i="2"/>
  <c r="AC34" i="2"/>
  <c r="AE34" i="2" s="1"/>
  <c r="AE33" i="2"/>
  <c r="AD33" i="2"/>
  <c r="AC33" i="2"/>
  <c r="AE32" i="2"/>
  <c r="AD32" i="2"/>
  <c r="AC32" i="2"/>
  <c r="AD31" i="2"/>
  <c r="AC31" i="2"/>
  <c r="AE31" i="2" s="1"/>
  <c r="AD30" i="2"/>
  <c r="AC30" i="2"/>
  <c r="AE30" i="2" s="1"/>
  <c r="AE29" i="2"/>
  <c r="AD29" i="2"/>
  <c r="AC29" i="2"/>
  <c r="AD28" i="2"/>
  <c r="AE28" i="2" s="1"/>
  <c r="AC28" i="2"/>
  <c r="AD27" i="2"/>
  <c r="AC27" i="2"/>
  <c r="AE27" i="2" s="1"/>
  <c r="AD26" i="2"/>
  <c r="AC26" i="2"/>
  <c r="AE26" i="2" s="1"/>
  <c r="AE25" i="2"/>
  <c r="AD25" i="2"/>
  <c r="AC25" i="2"/>
  <c r="AE24" i="2"/>
  <c r="AD24" i="2"/>
  <c r="AC24" i="2"/>
  <c r="AD23" i="2"/>
  <c r="AC23" i="2"/>
  <c r="AE23" i="2" s="1"/>
  <c r="AD22" i="2"/>
  <c r="AC22" i="2"/>
  <c r="AE22" i="2" s="1"/>
  <c r="AE21" i="2"/>
  <c r="AD21" i="2"/>
  <c r="AC21" i="2"/>
  <c r="AD20" i="2"/>
  <c r="AE20" i="2" s="1"/>
  <c r="AC20" i="2"/>
  <c r="AD19" i="2"/>
  <c r="AC19" i="2"/>
  <c r="AE19" i="2" s="1"/>
  <c r="AD18" i="2"/>
  <c r="AC18" i="2"/>
  <c r="AE18" i="2" s="1"/>
  <c r="AE17" i="2"/>
  <c r="AD17" i="2"/>
  <c r="AC17" i="2"/>
  <c r="AE16" i="2"/>
  <c r="AD16" i="2"/>
  <c r="AC16" i="2"/>
  <c r="AD15" i="2"/>
  <c r="AC15" i="2"/>
  <c r="AE15" i="2" s="1"/>
  <c r="AD14" i="2"/>
  <c r="AC14" i="2"/>
  <c r="AE14" i="2" s="1"/>
  <c r="AE13" i="2"/>
  <c r="AD13" i="2"/>
  <c r="AC13" i="2"/>
  <c r="AD12" i="2"/>
  <c r="AE12" i="2" s="1"/>
  <c r="AC12" i="2"/>
  <c r="AD11" i="2"/>
  <c r="AC11" i="2"/>
  <c r="AE11" i="2" s="1"/>
  <c r="AD10" i="2"/>
  <c r="AC10" i="2"/>
  <c r="AE10" i="2" s="1"/>
  <c r="AE9" i="2"/>
  <c r="AD9" i="2"/>
  <c r="AC9" i="2"/>
  <c r="AE8" i="2"/>
  <c r="AD8" i="2"/>
  <c r="AC8" i="2"/>
  <c r="AD7" i="2"/>
  <c r="AC7" i="2"/>
  <c r="AE7" i="2" s="1"/>
  <c r="AD6" i="2"/>
  <c r="AC6" i="2"/>
  <c r="AE6" i="2" s="1"/>
  <c r="AE5" i="2"/>
  <c r="AD5" i="2"/>
  <c r="AC5" i="2"/>
  <c r="AD4" i="2"/>
  <c r="AC4" i="2"/>
  <c r="AE4" i="2" s="1"/>
  <c r="AD3" i="2"/>
  <c r="AC3" i="2"/>
  <c r="AE3" i="2" s="1"/>
  <c r="AD2" i="2"/>
  <c r="AC2" i="2"/>
  <c r="AE2" i="2" s="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AE80" i="1"/>
  <c r="AE79" i="1"/>
  <c r="AE78" i="1"/>
  <c r="AE77" i="1"/>
  <c r="AE76" i="1"/>
  <c r="AE75" i="1"/>
  <c r="AE74" i="1"/>
  <c r="AE73" i="1"/>
  <c r="AE72" i="1"/>
  <c r="AE71" i="1"/>
  <c r="AE70" i="1"/>
  <c r="AE69" i="1"/>
  <c r="AE68" i="1"/>
  <c r="AE67" i="1"/>
  <c r="AE66" i="1"/>
  <c r="AE65" i="1"/>
  <c r="AE64" i="1"/>
  <c r="AE63" i="1"/>
  <c r="AE62" i="1"/>
  <c r="AE61" i="1"/>
  <c r="AE60" i="1"/>
  <c r="AE59" i="1"/>
  <c r="AE58" i="1"/>
  <c r="AE57" i="1"/>
  <c r="AE56" i="1"/>
  <c r="AE55" i="1"/>
  <c r="AE54" i="1"/>
  <c r="AE53" i="1"/>
  <c r="AE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E3" i="1"/>
  <c r="AE2" i="1"/>
  <c r="AE15" i="4" l="1"/>
  <c r="AE2" i="4"/>
  <c r="AE6" i="4"/>
  <c r="AE10" i="4"/>
  <c r="AE4" i="4"/>
  <c r="AE12" i="4"/>
  <c r="AE23" i="4"/>
  <c r="AE24" i="4"/>
  <c r="AE5" i="4"/>
  <c r="AE9" i="4"/>
  <c r="AE13" i="4"/>
  <c r="AE18" i="4"/>
  <c r="AE7" i="4"/>
  <c r="AE20" i="4"/>
  <c r="AE11" i="4"/>
  <c r="AE14" i="4"/>
  <c r="AE8" i="4"/>
  <c r="AE19" i="4"/>
  <c r="AE17" i="4"/>
  <c r="AE16" i="4"/>
  <c r="AE3" i="4"/>
  <c r="AE21" i="4"/>
</calcChain>
</file>

<file path=xl/sharedStrings.xml><?xml version="1.0" encoding="utf-8"?>
<sst xmlns="http://schemas.openxmlformats.org/spreadsheetml/2006/main" count="6580" uniqueCount="2005">
  <si>
    <t>Timestamp</t>
  </si>
  <si>
    <t>Please select your country of origin to enable you to submit an application</t>
  </si>
  <si>
    <t xml:space="preserve">a) Surname of applicant </t>
  </si>
  <si>
    <t xml:space="preserve">b) Firstname of applicant </t>
  </si>
  <si>
    <t xml:space="preserve">c) Other name(s) of applicant </t>
  </si>
  <si>
    <t>d) Active e-mail address</t>
  </si>
  <si>
    <t>e) Contact Number (e.g. +233 20 630 0405)</t>
  </si>
  <si>
    <t>f) Sex</t>
  </si>
  <si>
    <t xml:space="preserve">g). Occupational Institution/Organization </t>
  </si>
  <si>
    <t>h). Occupation/Profession</t>
  </si>
  <si>
    <t>i)  Describe your experience using a programming language for data analysis or modelling. Include the programming tools/languages used, and an example of a problem you solved. [150-200 words]</t>
  </si>
  <si>
    <t>j)  Briefly explain a quantitative concept (e.g., probability, regression, differential equations) you have used in your work or studies and how it informed your analysis. [250-300 words]</t>
  </si>
  <si>
    <t>k)  What motivates your interest in infectious disease modelling and its application to public or global health? [150-200 words]</t>
  </si>
  <si>
    <t>l)Why do you want to participate in this course, and how does it align with your future goals? [150-200 words]</t>
  </si>
  <si>
    <t xml:space="preserve">Cover Letter / Letter of Motivation </t>
  </si>
  <si>
    <t>Curriculum Vitae / Resume (2 pages)</t>
  </si>
  <si>
    <t>i) Would you like to attend the conference?</t>
  </si>
  <si>
    <t xml:space="preserve">If yes, follow the link to appl for the conference https://lnkd.in/euqj9GVu </t>
  </si>
  <si>
    <t>Would you want to submit abstract for the conference</t>
  </si>
  <si>
    <t>If yes, follow the link to submit the abstract:  https://lnkd.in/eH6xUHv9</t>
  </si>
  <si>
    <t>By signing this Form, I give authorization to the G-WAC to use my email address/contact number in internal mailings/correspondence. The mail address/contact number will not be forwarded to any third parties. Upload Date, Name and Signature of Applicant. Please note: incomplete files will not be accepted for submission to the G-WAC. Kindly attach your signature</t>
  </si>
  <si>
    <t>Full_Name</t>
  </si>
  <si>
    <t>Matched_CV</t>
  </si>
  <si>
    <t>Score_Q10_Programming_Experience (25 pts)</t>
  </si>
  <si>
    <t>Score_Q11_Quantitative (20 pts)</t>
  </si>
  <si>
    <t>Score_Q12_Motivation (20 pts)</t>
  </si>
  <si>
    <t>Score_Q13_Course Alignment with Goals (15 pts)</t>
  </si>
  <si>
    <t>Score_Professional Background (10 pts)</t>
  </si>
  <si>
    <t>Bonus_Country (5 pts)</t>
  </si>
  <si>
    <t>Bonus_Gender (5 pts)</t>
  </si>
  <si>
    <t>Final_Score_100</t>
  </si>
  <si>
    <t>Remarks</t>
  </si>
  <si>
    <t>17/04/2025 20:55:34</t>
  </si>
  <si>
    <t>Burkina Faso</t>
  </si>
  <si>
    <t>Issa</t>
  </si>
  <si>
    <t>Barry</t>
  </si>
  <si>
    <t>Djamoh</t>
  </si>
  <si>
    <t>djambarry00@gmail.com</t>
  </si>
  <si>
    <t>+22674424474</t>
  </si>
  <si>
    <t>Male</t>
  </si>
  <si>
    <t>Muso</t>
  </si>
  <si>
    <t>Public health physician</t>
  </si>
  <si>
    <t>While I am not a data scientist by training, I have progressively built familiarity with data analysis tools as part of my responsibilities in public health. I have used Excel and DHIS2 for data cleaning, visualization, and routine surveillance reporting. I have also been introduced to R programming during online training modules, which helped me understand how modelling can support outbreak response planning.
For example, while supporting surveillance activities in a district in northern Côte d’Ivoire, I worked with the local health team to extract and analyse data from DHIS2. This hands-on experience, combined with my aspiration to specialize in public health emergency management, has strengthened my interest in disease modelling. I am eager to develop stronger analytical skills to better contribute to public health decision-making.</t>
  </si>
  <si>
    <t>During my Master's, I applied basic regression analysis to explore the relationship between antenatal care attendance and neonatal outcomes. By analyzing health facility data, I was able to identify trends showing that regular prenatal visits were associated with a lower incidence of neonatal complications. This insight supported recommendations to strengthen community outreach and improve access to antenatal care services in under-resourced areas.</t>
  </si>
  <si>
    <t>My interest in infectious disease modelling stems from my experience in managing public health emergencies in vulnerable settings. Working in outbreak surveillance and response, I have seen firsthand the critical need for timely, data-driven decision-making. I believe disease modelling offers powerful tools to anticipate trends, optimize resource allocation, and improve the effectiveness of public health interventions. It aligns with my ambition to strengthen epidemic preparedness and response systems in West Africa and contribute to evidence-based global health strategies.</t>
  </si>
  <si>
    <t>Participating in this course is a natural step in my professional journey as a public health physician passionate by epidemic preparedness and response. My work in fragile contexts—such as the Sahel region of Burkina Faso and currently in northern Côte d’Ivoire—has shown me the urgent need for better tools to anticipate and manage infectious disease outbreaks, especially where health systems are under strain.
While I have supported surveillance and field response efforts, I am eager to deepen my understanding of disease dynamics through modelling. I see this course as an opportunity to build foundational skills that will allow me to better interpret data, inform public health strategies, and support timely, evidence-based decisions.
In the long term, I aimto contribute to national and regional systems for epidemic preparedness, with a particular focus on integrating modelling into early warning and response mechanisms. This course aligns perfectly with these goals and will help me bridge the gap between field realities and scientific innovation in global health.</t>
  </si>
  <si>
    <t>https://drive.google.com/open?id=1am5f3igdtcjSUlGL1lLesBIK5wLGDFOA</t>
  </si>
  <si>
    <t>https://drive.google.com/open?id=14q82r0w9XaRh1zkmtZxkhuF2jWx8vlto</t>
  </si>
  <si>
    <t>Yes</t>
  </si>
  <si>
    <t>No</t>
  </si>
  <si>
    <t>https://drive.google.com/open?id=1DWDf--FfzKXf1NU-AcVhZMMrDf0Qi2al</t>
  </si>
  <si>
    <t>barry issa</t>
  </si>
  <si>
    <t>issa barry - issa barry</t>
  </si>
  <si>
    <t>Limited programming exposure; Needs stronger alignment; Limited relevant experience</t>
  </si>
  <si>
    <t>17/04/2025 21:49:04</t>
  </si>
  <si>
    <t>Ghana</t>
  </si>
  <si>
    <t>Mensah</t>
  </si>
  <si>
    <t xml:space="preserve">Seth </t>
  </si>
  <si>
    <t>Ohene</t>
  </si>
  <si>
    <t>sethlink2020@gmail.com</t>
  </si>
  <si>
    <t>0246690787</t>
  </si>
  <si>
    <t>Assinman Nursing and Midwifery Training college</t>
  </si>
  <si>
    <t>Nurse</t>
  </si>
  <si>
    <t xml:space="preserve">I have utilized Python extensively for data analysis and modelling in both academic and research settings. My experience includes using libraries such as pandas for data manipulation, matplotlib and seaborn for data visualization, and scikit-learn for building predictive models. One notable project involved analyzing patient records to identify patterns in hospital readmission rates among individuals with chronic illnesses.
In this project, I cleaned and structured a large dataset using pandas, then performed exploratory data analysis to uncover trends and correlations. I used logistic regression from scikit-learn to build a model that predicted the likelihood of patient readmission within 30 days post-discharge. The model helped identify key risk factors, such as age, co-morbidities, and length of stay.
Through this experience, I gained practical skills in handling real-world health data and appreciated the value of programming in informing data-driven decisions. Python’s flexibility and the wide range of libraries available made it an ideal tool for this analytical task.
</t>
  </si>
  <si>
    <t>One key quantitative concept I have utilized in my work is logistic regression, particularly during the analysis phase of a research project on HIV prevention strategies among nursing students. Logistic regression is a statistical method used to model the relationship between a dependent binary variable and one or more independent variables. In my case, the dependent variable was whether a student demonstrated adequate knowledge of HIV prevention (yes or no), and the independent variables included age, year of study, previous exposure to HIV-related education, and participation in clinical rotations.
This method allowed me to predict the likelihood of a student having adequate HIV prevention knowledge based on their background characteristics. The analysis revealed, for example, that students who had undergone clinical placement in infectious disease units were significantly more likely to demonstrate adequate knowledge (p &lt; 0.05).
The use of logistic regression was crucial in informing targeted interventions. By identifying which variables had the strongest association with knowledge levels, we were able to recommend curriculum adjustments and targeted training for specific groups. It also helped us control for confounding variables, ensuring that our conclusions were robust and evidence-based.
Furthermore, the odds ratios generated through the analysis provided a clear and interpretable measure of association for stakeholders, including educators and health policymakers. This quantitative insight reinforced the importance of experiential learning in improving public health knowledge among nursing students.
In summary, logistic regression enabled us to move beyond descriptive statistics and make informed, predictive analyses that could be practically applied to curriculum development and policy recommendations.</t>
  </si>
  <si>
    <t xml:space="preserve">My interest in infectious disease modelling stems from its powerful role in shaping public and global health interventions. As a nurse educator and researcher, I have witnessed the devastating impact of diseases such as HIV, malaria, and hepatitis in underserved communities. These experiences have driven me to seek innovative approaches to disease prevention and control. Infectious disease modelling provides critical insights into the spread, dynamics, and control of epidemics, enabling evidence-based decision-making.
Moreover, modelling supports timely responses to emerging threats, as seen during the COVID-19 pandemic. It bridges the gap between data and policy, guiding resource allocation and public health strategies. My involvement in projects like AFRIhep-Ghana and the Yale-KNUST exchange on mHealth in HIV has strengthened my appreciation for interdisciplinary collaboration in tackling health challenges.
By integrating clinical knowledge with quantitative modelling, I aim to contribute to more accurate predictions and effective interventions. Ultimately, I am motivated by the potential of infectious disease modelling to save lives, reduce health disparities, and build resilient health systems—especially in low- and middle-income countries like Ghana.
</t>
  </si>
  <si>
    <t xml:space="preserve"> am eager to participate in this course because it offers a unique opportunity to deepen my understanding of infectious disease modelling within the context of real-world public health challenges. As a nurse educator and researcher with a strong interest in infectious diseases such as HIV, malaria, and hepatitis, I recognize the importance of developing skills that combine epidemiological insight with analytical tools to inform effective interventions.
This course aligns perfectly with my future goal of becoming a leader in global health research and policy development, particularly in sub-Saharan Africa. I aim to contribute to the design of data-driven strategies that can mitigate the burden of infectious diseases in resource-limited settings. Gaining hands-on experience with modelling tools and learning from global experts will enhance my ability to translate research into impactful health policies and teaching materials for future healthcare professionals.
Moreover, the knowledge and networks gained from this course will support my ongoing research and academic work, including projects like the AFRIhep-Ghana initiative and the Yale-KNUST exchange program. Ultimately, participating in this course is a strategic step towards advancing my academic, professional, and public health goals.</t>
  </si>
  <si>
    <t>https://drive.google.com/open?id=1Gq0L5O4i15tDQVWc4VxPzQi74pr1eRsB</t>
  </si>
  <si>
    <t>https://drive.google.com/open?id=1im8Kli0IcDfP5_E3BQ44zRFVYRS23A6v</t>
  </si>
  <si>
    <t>https://drive.google.com/open?id=1cRLRDbEthT58lWGl7J2PwctRU7SgWVdr</t>
  </si>
  <si>
    <t>seth mensah</t>
  </si>
  <si>
    <t>18/04/2025 07:33:14</t>
  </si>
  <si>
    <t>Others</t>
  </si>
  <si>
    <t>Wakjira</t>
  </si>
  <si>
    <t>Bayeta</t>
  </si>
  <si>
    <t>Senbata</t>
  </si>
  <si>
    <t>didigabruma@gmail.com</t>
  </si>
  <si>
    <t>+251910916417</t>
  </si>
  <si>
    <t>Animal health Institute</t>
  </si>
  <si>
    <t>Researcher</t>
  </si>
  <si>
    <t>In a recent project, I used Python to analyze disease patterns in a public health dataset. Leveraging libraries like pandas, Matplotlib, and scikit-learn, I examined factors influencing the spread of a respiratory infection.The problem involved identifying high-risk regions and predicting outbreak likelihood. I cleaned the data with pandas, handling missing values and normalizing features. Using Seaborn, I visualized infection rates by demographics and geographic areas, revealing hotspots in urban centers. For predictive modeling, I trained a random forest classifier (scikit-learn) to forecast outbreak risk based on climate, population density, and healthcare access. After feature engineering and cross-validation, the model achieved 88% precision in identifying at-risk areas.The analysis helped prioritize resource allocation for vaccination campaigns. Jupyter Notebook streamlined documentation, while Plotly created interactive dashboards for stakeholders.This project demonstrated Python’s power in transforming raw health data into actionable insights, aiding evidence-based disease control strategies.</t>
  </si>
  <si>
    <t>In a public health project, I applied logistic regression—a statistical method for predicting binary outcomes—to assess the risk of infectious disease outbreaks. The goal was to identify regions most vulnerable to transmission so health officials could prioritize interventions.Logistic regression analyzes how different factors influence the probability of an event (e.g., an outbreak). Instead of predicting exact values like linear regression, it estimates whether an outcome is likely or not, making it ideal for yes/no scenarios, such as Will this area experience an outbreak?,Using historical health data, I examined variables like climate conditions, vaccination rates, and population density. The model helped determine which factors had the strongest impact on outbreak risk. For example, it showed that areas with high humidity and low vaccination coverage were significantly more likely to report cases.By translating complex data into actionable insights, logistic regression enabled evidence-based decision-making, demonstrating how statistical modeling can strengthen disease prevention efforts.</t>
  </si>
  <si>
    <t>My interest in infectious disease modeling stems from its unique power to turn data into actionable public health insights. Growing up in a region affected by seasonal outbreaks.
What excites me most is the real-world impact of this work—whether optimizing vaccine distribution, forecasting epidemic curves, or evaluating containment strategies. For example, during the COVID-19 pandemic, I was inspired by how models helped governments balance interventions with socioeconomic costs. Projects like using mobility data to predict viral spread showed me how interdisciplinary approaches (epidemiology + data science) save lives.Now, I’m particularly drawn to modeling neglected tropical diseases and antimicrobial resistance—areas where resource constraints demand precision. The challenge of translating complex dynamics (e.g., zoonotic spillover, climate-linked transmission) into practical tools motivates me to keep learning. Ultimately, I believe modeling is a bridge between raw data and health equity, helping prioritize interventions for those who need them most.</t>
  </si>
  <si>
    <t>I am eager to participate in this course because it offers the rigorous technical training and real-world epidemiological perspective I need to advance my goal of becoming an infectious disease modeler for public health agencies.The curriculum’s blend of mathematical modeling, computational tools, and case studies aligns perfectly with gaps in my current skill set—particularly in advanced transmission dynamics and outbreak response frameworks. For instance, I want to strengthen my ability to adapt models for resource-limited settings, where factors like incomplete data or vaccine hesitancy require nuanced approaches.Beyond technical skills, I’m drawn to this course’s emphasis on translating models into policy recommendations. My long-term aim is to work with organizations like the WHO or CDC, helping optimize interventions for diseases like zoonotic or antimicrobial resistance. The chance to learn from faculty and peers tackling similar challenges would accelerate this path.Finally, I see this training as a stepping stone to contributing meaningfully to global health equity—ensuring modeling insights reach communities most affected by infectious diseases. This course would equip me to bridge the gap between theoretical models and life-saving decisions.</t>
  </si>
  <si>
    <t>https://drive.google.com/open?id=1RN3d2Ln2AIskywYfmS6v0DhTOTh88_Wo</t>
  </si>
  <si>
    <t>https://drive.google.com/open?id=1HaRzkyyphL5RboxgdkboM7ZufG0PbeSA</t>
  </si>
  <si>
    <t>https://drive.google.com/open?id=1iTfU-W0yRWJFp9u2815tSX8XAUwhG6d-</t>
  </si>
  <si>
    <t>bayeta wakjira</t>
  </si>
  <si>
    <t>18/04/2025 08:52:47</t>
  </si>
  <si>
    <t xml:space="preserve">KIMATA </t>
  </si>
  <si>
    <t xml:space="preserve">YVONNE </t>
  </si>
  <si>
    <t xml:space="preserve">MUKAMI </t>
  </si>
  <si>
    <t>mukamikim@gmail.com</t>
  </si>
  <si>
    <t>+254725300294</t>
  </si>
  <si>
    <t>Female</t>
  </si>
  <si>
    <t>Kenya Institute of Primate Research</t>
  </si>
  <si>
    <t xml:space="preserve">Research Scientist </t>
  </si>
  <si>
    <t xml:space="preserve">While I’m still a novice with R, I have a strong background in data analysis using SPSS and Excel. In my work on arbovirus surveillance, I’ve routinely managed and analyzed large datasets from ELISA and RT-PCR assays. I’ve used SPSS to perform statistical tests such as chi-square and logistic regression to identify associations between exposure factors and virus seropositivity.
One example involved analysing seasonal patterns of dengue and chikungunya virus seropositivity across different regions of Kenya, which helped inform timely public health interventions. Recently, I’ve started learning R to strengthen my ability to work with more complex datasets and modelling approaches, and I’m excited to apply these skills in real-world settings.
I’m eager to build on my current experience and contribute meaningfully to data-driven approaches in disease modelling and pandemic preparedness.
</t>
  </si>
  <si>
    <t xml:space="preserve">One quantitative concept I’ve applied in my work is logistic regression, which has been key in helping me understand patterns in arbovirus transmission. I’ve used it primarily through SPSS to analyze binary outcomes—such as positive or negative ELISA and RT-PCR results—in large datasets collected during arbovirus surveillance studies in Kenya.
In one study, I used logistic regression to explore how factors like age, sex, geographic location, and mosquito exposure influenced the likelihood of testing positive for dengue or chikungunya virus. This approach helped us identify high-risk groups and areas by estimating odds ratios and confidence intervals. For instance, we found that people living in peri-urban settings had a significantly higher chance of exposure compared to those in rural regions. These insights helped inform more targeted vector control and community outreach strategies.
Currently, I’m a PhD student in Virology, and I plan to apply similar quantitative approaches to model Rift Valley Fever (RVF) dynamics in parts of East Africa. I aim to explore how ecological, environmental, and demographic variables contribute to outbreaks, and use these insights to support early warning systems and preparedness efforts.
Logistic regression has been a valuable tool in moving from data collection to meaningful, actionable insights. It’s also sparked my interest in more advanced modelling techniques, which I’m now beginning to explore as I build the foundation for my PhD research.
</t>
  </si>
  <si>
    <t>My interest in infectious disease modelling stems from my work in arbovirus surveillance and my passion for using science to inform public health action. Over the years, I’ve witnessed how outbreaks—like dengue and Rift Valley Fever—can rapidly escalate, especially in resource-limited settings where early warning systems are lacking. This has made me deeply curious about how predictive models can help us better understand disease dynamics and anticipate outbreaks before they happen.
As a PhD student in Virology, I plan to model Rift Valley Fever transmission in East Africa, focusing on ecological and climatic drivers. I believe that modelling offers a powerful way to translate complex data into actionable insights, supporting preparedness, response, and long-term control strategies. My motivation is not just academic—it's rooted in the desire to contribute to systems that protect vulnerable communities and strengthen global health security.
Infectious disease modelling, to me, is where data meets impact. I’m excited by its potential to bridge science and policy, and to help guide interventions that are timely, targeted, and evidence based.</t>
  </si>
  <si>
    <t xml:space="preserve">
I am eager to participate in this course because it offers a unique opportunity to deepen my understanding of infectious disease modelling and its direct application to public health challenges. As a PhD student in Virology, my research focuses on modelling Rift Valley Fever transmission in East Africa, and this course will provide me with essential tools and methodologies to refine and expand my work.
The course’s emphasis on real-world applications, data-driven decision-making, and pandemic preparedness aligns perfectly with my future goal of contributing to public health strategies that can better predict and prevent outbreaks in vulnerable regions. By learning from experts in the field and collaborating with like-minded peers, I hope to gain a more comprehensive skill set in disease modelling that can strengthen my ability to inform timely, targeted interventions.
Ultimately, I want to be part of the global health community that bridges the gap between scientific research and policy, and this course is an important step in equipping me with the knowledge and experience to do so.</t>
  </si>
  <si>
    <t>https://drive.google.com/open?id=1y5fH3iQNhRkt5ryf1cC2qLw64EAfsIsT</t>
  </si>
  <si>
    <t>https://drive.google.com/open?id=1log8DuDltDgUc0Iebzaed07ZBmyJt8-q</t>
  </si>
  <si>
    <t>https://drive.google.com/open?id=1Q_DYbl_IlwS0p4LpDMo_gL3s1U9nJI0r</t>
  </si>
  <si>
    <t>yvonne kimata</t>
  </si>
  <si>
    <t>18/04/2025 10:38:31</t>
  </si>
  <si>
    <t>Nigeria</t>
  </si>
  <si>
    <t>MURTALA</t>
  </si>
  <si>
    <t>HASSAN</t>
  </si>
  <si>
    <t>ADAM</t>
  </si>
  <si>
    <t>hassn.adam892@gmail.com</t>
  </si>
  <si>
    <t>+2348034220272</t>
  </si>
  <si>
    <t>Kano Independent Research Centre Trust</t>
  </si>
  <si>
    <t>Statistician Analyst/Medical Doctor</t>
  </si>
  <si>
    <t xml:space="preserve">I have extensive experience using R programming for data analysis and statistical modeling, particularly in public health and epidemiological research. Additionally, I also teach R programming for data analysis to researchers at different institutions.
One notable example involved analyzing data from the 2018 Nigeria HIV/AIDS Indicator and Impact Survey (NAIIS). My objective was to examine the prevalence of tuberculosis co-infection among people living with HIV in conflict versus non-conflict zones. (Journal titled, HIV-TB Co-infection in Conflict Zones of Nigeria, accepted for publication at the Tropical Medicine &amp; International Health journal). 
Another example was analyzing diphtheria cases data across 44 LGAs in Kano State, Nigeria, the largest recently report outbreak of diphtheria in Nigeria with over eighteen thousand suspected cases. (A Journal paper titled, Post COVID 19 resurgences of diphtheria in Kano, Nigeria: Analysis of 18, 320 cases. Submitted to lancet eBioMedicine journal).
This experience highlights my ability to apply R for complex data-driven decision-making.
</t>
  </si>
  <si>
    <t xml:space="preserve">One important quantitative concept I recently applied in my work is multinomial logistic regression, which is used when the outcome variable is categorical with more than two levels. This technique extends binary logistic regression by allowing for the modeling of outcomes with multiple categories that are nominal.
In a recent analysis I conducted using R (version 4.4.3), I investigated diagnostic concordance between clinical and histopathological diagnoses. The outcome variable had three levels: Full concordance, Partial concordance, and No concordance. To identify factors independently associated with these diagnostic outcomes, I employed a multinomial logistic regression model.
Explanatory variables included age, age group, sex, site of tissue biopsy, category of pathology, and class of pathology. Before modeling, I conducted descriptive and bivariate analyses using Chi-square and Kruskal-Wallis tests to explore initial relationships between predictors and diagnostic concordance. Prior to this I tested the normality of continuous variable using Shapiro-wilk test.
The multinomial model allowed me to simultaneously compare Partial and No concordance against the reference category (Full concordance), estimating adjusted odds ratios (aORs) for each explanatory variable. For example, certain categories of pathology or specific biopsy sites were significantly associated with increased odds of discordant diagnoses.
This approach informed the analysis by quantifying how different clinical and demographic factors influenced diagnostic agreement, while controlling for confounding. The results provided actionable insights to guide quality improvement in clinical diagnosis and biopsy site selection, ultimately aiming to reduce diagnostic errors in clinical settings.
</t>
  </si>
  <si>
    <t xml:space="preserve">My interest in infectious disease modelling stems from its powerful ability to inform evidence-based public health responses and save lives. Growing up and working in Nigeria, I have witnessed firsthand the devastating impact of outbreaks like Lassa fever, cholera, diphtheria and COVID 19, often worsened by delayed or poorly targeted interventions. Infectious disease modelling offers a strategic advantage by forecasting outbreaks, estimating disease burden, and optimizing resource allocation in real time.
While working on the epidemiological analysis of diphtheria cases in Kano State, I saw how mathematical models could quantify the effect of vaccination, severity, and treatment delays on patient outcomes. This experience deepened my appreciation for modelling as a vital tool in both surveillance and intervention design.
What drives me is the potential to use modelling not just to understand disease dynamics, but also to influence health policy, especially in low-resource settings. I’m passionate about bridging the gap between data science and public health action ensuring models translate into effective, equitable, and timely solutions that improve health outcomes globally.
</t>
  </si>
  <si>
    <t xml:space="preserve">I am eager to participate in the G-WAC Disease Modelling for Pandemic Preparedness and Response 2025 course because it aligns perfectly with my long-term goal of becoming a leading epidemiologist and infectious disease modeller focused on improving health outcomes in low-resource settings. My experience in outbreak investigations and public health research in Nigeria has shown me the critical role that timely and data-driven decision-making plays in controlling infectious disease threats. However, I have also observed significant gaps in local modelling capacity during health emergencies.
This course presents a unique opportunity to strengthen my technical skills in disease modelling, learn from global experts, and apply advanced modelling techniques to real-world public health scenarios. I am particularly interested in learning how to design and implement predictive models for early outbreak detection, resource planning, and intervention evaluation.
Participating in this course will enhance my ability to contribute meaningfully to pandemic preparedness efforts in West Africa and support national and regional health authorities in data-driven policy formulation. It will also support my doctoral studies in biostatistics and epidemiology by equipping me with practical modelling skills that bridge theory and public health practice.
</t>
  </si>
  <si>
    <t>https://drive.google.com/open?id=1iHo5Gxb4LiNBP84y86TAUiTucP-3ebbA</t>
  </si>
  <si>
    <t>https://drive.google.com/open?id=15ug1JDNiotIZ9dX6YwrsWww5Isxt4ggM</t>
  </si>
  <si>
    <t>https://drive.google.com/open?id=1BipYJlxvFhpEfJABpm3w91Oix-ebBSZ-</t>
  </si>
  <si>
    <t>hassan murtala</t>
  </si>
  <si>
    <t>hassan adam</t>
  </si>
  <si>
    <t>18/04/2025 10:56:17</t>
  </si>
  <si>
    <t>Akomolafe</t>
  </si>
  <si>
    <t xml:space="preserve">Busayo </t>
  </si>
  <si>
    <t>Kayode</t>
  </si>
  <si>
    <t>akomolafebusayo2014@gmail.com</t>
  </si>
  <si>
    <t>+2348035156816</t>
  </si>
  <si>
    <t>Primary Healthcare Board, Oyo state Ministry of Health</t>
  </si>
  <si>
    <t>Biomedical scientist</t>
  </si>
  <si>
    <t>I have a good grasp of R and Phyton programming languages for data analysis and modelling different infectious diseases simulations using compartmental, geospatial and time series modelling. I have worked on different mathematical modelling research topics ranging from malaria to cervical cancer. i have used compartmental modelling and geospatial modelling to assess the impact of different intervention mixes on malaria control in Oyo state Nigeria using R studio for my different baseline simulations and scenario analysis of intervention introduction and the cost effectiveness to help policy makers makes data driven informed decision.</t>
  </si>
  <si>
    <t>I have used ordinary differential equation (ODE) extracted from my compartmental flow diagram drawn using draw.io platform to work on the impact assessment of intervention mixes for malaria control in Nigeria, using SEIR age structured compartmental modelling, where i have the children compartment (susceptible, exposed, infectious, protected and recovered) and the adult compartment (susceptible, exposed, infectious asymptomatic, infectious symptomatic and recovered) with the introduction of different intervention ( ITN, SMC and vaccination), using the differential equation helped me in setting up my initial state variables and parameters thereby enabling me to run code on r studio and generating beautiful graphs and maps.</t>
  </si>
  <si>
    <t>my motivation for infectious disease modelling stem from my interest in the application of mathematics in the prevention and control of infectious diseases especially post pandemic, haven seen how it helped in the prevention and control of SARs Cov 2. It was used in predicting the impact of hand wash, isolation, distancing and used of nose mask in breaking the chain of transmission of Covid 19.  I want to see it apply to other infectious disease ravaging my country Nigeria ranging from Mycobacterium tuberculosis, malaria, diphtheria, cholera and Mpox.</t>
  </si>
  <si>
    <t xml:space="preserve">I am eager to participate in the G-WAC course on Disease Modelling for Pandemic Preparedness and Response 2025 to help deepen my expertise in infectious disease modelling and contribute meaningfully to global health response. With a background in modelling, I have applied quantitative techniques to simulate complex systems, analyze data trends, and support evidence-based decision-making. However, I am keen to specialize further in epidemiological modelling, especially in the context of emerging reemerging infectious diseases and pandemic response. This course offers an exceptional opportunity to engage with cutting-edge methodologies, interdisciplinary collaboration, and real-world case studies, all of which are important for advancing my skills. I am particularly interested in knowing how models can inform public health interventions and guide in policy making. I aim to work at the intersection of data science, public health, and policy, using modelling to predict and mitigate the impacts of future pandemics—particularly in low-resource settings like my country Nigeria. </t>
  </si>
  <si>
    <t>https://drive.google.com/open?id=1r6yODMCBvJZr2yHVkP7Vz9ryTR84681v</t>
  </si>
  <si>
    <t>https://drive.google.com/open?id=1vkH6pKPHn2YjOg9KUpRjHPLtWx65Xjug</t>
  </si>
  <si>
    <t>https://drive.google.com/open?id=1ABFAxWExemoNzNHx1L-83Si0YxcSHkAQ</t>
  </si>
  <si>
    <t>busayo akomolafe</t>
  </si>
  <si>
    <t>18/04/2025 17:53:08</t>
  </si>
  <si>
    <t xml:space="preserve">Morris </t>
  </si>
  <si>
    <t xml:space="preserve">Phindile </t>
  </si>
  <si>
    <t xml:space="preserve">Christine </t>
  </si>
  <si>
    <t>phindiemoris@gmail.com</t>
  </si>
  <si>
    <t>+26876429103</t>
  </si>
  <si>
    <t xml:space="preserve">Eswatini National TB Reference Laboratory </t>
  </si>
  <si>
    <t xml:space="preserve">Laboratory technologist </t>
  </si>
  <si>
    <t>None</t>
  </si>
  <si>
    <t xml:space="preserve">My interest in infectious disease modelling and its application to public and global health is driven by a deep appreciation for how data, mathematics, and real-world health challenges intersect. Infectious diseases have a profound and immediate impact on communities, especially in low-resource settings, and modelling offers a powerful way to understand, predict, and ultimately control their spread.
What excites me most is the ability to translate complex biological and social processes into models that can inform decisions—whether it's optimizing vaccine strategies, forecasting outbreaks, or evaluating interventions. The COVID-19 pandemic underscored the critical role of modelling in public communication, policy-making, and resource allocation.
Additionally, this field sits at a unique crossroads of interdisciplinary collaboration, requiring insights from epidemiology, mathematics, computer science, and public health policy. That collaborative nature, along with the potential to save lives and improve health equity on a global scale, is what truly motivates my passion in this area.
</t>
  </si>
  <si>
    <t xml:space="preserve">As a laboratory technologist with hands-on experience in diagnostic testing and disease surveillance, I am eager to deepen my understanding of infectious disease control through this course. My daily work has exposed me to the critical role timely detection and accurate data play in managing outbreaks, but I have also recognized the need for a broader, systems-level understanding to complement my technical skills.
Participating in this course will provide me with the theoretical and practical tools to analyze disease transmission patterns, interpret epidemiological data, and contribute more effectively to public health strategies. I am particularly interested in how modelling and data-driven approaches can support early warning systems and targeted interventions—skills that are essential for addressing both endemic and emerging infectious threats.
This course aligns closely with my long-term goal of advancing into a public health role focused on infectious disease control, especially in underserved communities where early intervention can have a significant impact. By bridging laboratory science with epidemiological modelling, I aim to play a more proactive role in shaping evidence-based health policies and outbreak response strategies on both national and global levels.
</t>
  </si>
  <si>
    <t>https://drive.google.com/open?id=1gD3Pazq90IEqfgt5IOx6SQnzjHMaOjYl</t>
  </si>
  <si>
    <t>https://drive.google.com/open?id=1RdR3QYW4fSwYhNhcGcrMo1BoROMhSlo-</t>
  </si>
  <si>
    <t>https://drive.google.com/open?id=1yVinI9mZDtyVv36SToSqbLPMd8qNMyE7</t>
  </si>
  <si>
    <t>phindile morris</t>
  </si>
  <si>
    <t>19/04/2025 05:37:21</t>
  </si>
  <si>
    <t>Tadesse</t>
  </si>
  <si>
    <t>Animut</t>
  </si>
  <si>
    <t xml:space="preserve">Ayenew </t>
  </si>
  <si>
    <t>tadesseanimut2024@gmail.com</t>
  </si>
  <si>
    <t>+251911396741</t>
  </si>
  <si>
    <t>Freelance</t>
  </si>
  <si>
    <t xml:space="preserve">Public Health Consultant </t>
  </si>
  <si>
    <t>I have just started learning R (programming Language) and interested to apply in data analysis and visualization in vaccine preventable diseases surveillance, outbreak preparedness and response.</t>
  </si>
  <si>
    <t>I have used various quantitative concepts, including probability, regression, when I conducted various research, including "Predictors of HIV testing among TB patients in Northwest Ethiopia”, Pattern and prevalence of Nutritional Status of Under-five children in Southern Ethiopia, Maternal preference for mode of delivery in Hawassa Town, Sidama Region</t>
  </si>
  <si>
    <t xml:space="preserve">My interest in infectious disease modelling and its application to public or global health is driven by several key motivations:
1.	Real-world impact: Infectious disease modelling provides actionable insights to save lives and shape health policies. Whether predicting outbreaks, evaluating interventions like vaccines, social distancing, or optimizing resource allocation, models directly influence public health decisions, like what happened during COVID-19, Ebola, or Malaria Elimination efforts 
2.	Complex Problem solving:  The interplay of biology, human behavior, and epidemiology creates fascinating challenges. Modelling integrates data, mathematics, and computational tools to untangle these dynamics, offering a systematic way to test hypotheses under uncertainty.
3.	Preparedness and Equity: Global Health disparities mean the outbreak hits the vulnerable population hardest. Modeling helps anticipate risks, prioritize equitable intervention, and address questions like, 
•	How can limited vaccines be distributed fairly?
•	What is the long-term impact of climate change on vector-borne diseases?
4.	Interdisciplinary Collaboration: The field bridges math, statistics, epidemiology, economics, and policy. Working across disciplines to translate models into policy while accounting for cultural, political, and logistical realities is challenging and rewarding.
5.	Dynamic Innovation: Emerging tools like AI, Genomic Surveillance, and antimicrobial resistance keep the field evolving.
6.	Preventing the next pandemic.
</t>
  </si>
  <si>
    <t xml:space="preserve">This training is a strategic step toward becoming a skilled modeler who can influence public health decisions in research, policy, or emergency response. It directly supports my goal of using data-driven approaches to combat infectious diseases.
Career in Public Health &amp; Epidemiology 
   - My long-term goal is to work in **disease surveillance, outbreak prediction, or public health policy**, where modeling plays a crucial role.  
   - IDM training provides **quantitative skills (e.g., compartmental models, network modeling, R/Python for epidemiology) ** essential for analyzing disease spread and evaluating interventions.  
2. Research &amp; Academia
   Infectious disease modeling will be invaluable for studying transmission dynamics, vaccine impact, or antimicrobial resistance.  
   - The training will help me **publish high-impact research** and collaborate with epidemiologists and biostatisticians.  
3. Policy &amp; Global Health Applications
   - I aim to contribute to evidence-based policymaking by using models to guide vaccination strategies, lockdowns, or resource allocation.  
4. Interdisciplinary Skill Development
   - IDM bridges **math, stats, programming, and biology—skills transferable to biotech, data science, and health tech roles if I explore industry opportunities.  
 5. Pandemic Preparedness  
</t>
  </si>
  <si>
    <t>https://drive.google.com/open?id=1Bw19pAXYRAqh1nBzD8L44iBHeelSadCp</t>
  </si>
  <si>
    <t>https://drive.google.com/open?id=1rAMue_cYrtMWvVgBiSoJf3oRu0sF892X</t>
  </si>
  <si>
    <t>https://drive.google.com/open?id=12R32jykJqBiD4m0faBR_OpTYqHj9_rQZ</t>
  </si>
  <si>
    <t>animut tadesse</t>
  </si>
  <si>
    <t>cv  - animut tadesse</t>
  </si>
  <si>
    <t>19/04/2025 19:13:14</t>
  </si>
  <si>
    <t xml:space="preserve">Maliyi </t>
  </si>
  <si>
    <t xml:space="preserve"> Daniel </t>
  </si>
  <si>
    <t xml:space="preserve">Njimbasuni </t>
  </si>
  <si>
    <t>danielmaliyi894@gmail.com</t>
  </si>
  <si>
    <t>+233246172498</t>
  </si>
  <si>
    <t xml:space="preserve">GHS </t>
  </si>
  <si>
    <t xml:space="preserve">Registered General Nurse </t>
  </si>
  <si>
    <t xml:space="preserve">During the covid season there was a certain community within our catchment area that was resistant to the covid vaccine several colleagues staff made tried speaking to them but it didn't work until I finally got there with my communication skills and they accepted to be vaccinated. 
</t>
  </si>
  <si>
    <t xml:space="preserve">Not yet </t>
  </si>
  <si>
    <t xml:space="preserve">My love for my work and the well-being of clients under my areas is my most priority here and determined to make a difference through that. </t>
  </si>
  <si>
    <t xml:space="preserve">I'm really determined to gain more knowledge on tackling health issues and finding lasting solutions to them and the has always been my job at work. </t>
  </si>
  <si>
    <t>https://drive.google.com/open?id=1JuVlAA-5GOZwIxHRJmPfKe0aAkEzcR0i</t>
  </si>
  <si>
    <t>https://drive.google.com/open?id=1OlJoDRE5j9eVirPhijdRh7dLCPeWssaP</t>
  </si>
  <si>
    <t>https://drive.google.com/open?id=1szaWPyNlxzBWtZubsgZDkrKwEek4JOu4</t>
  </si>
  <si>
    <t>daniel maliyi</t>
  </si>
  <si>
    <t>20/04/2025 20:45:48</t>
  </si>
  <si>
    <t>Benin</t>
  </si>
  <si>
    <t>M</t>
  </si>
  <si>
    <t>I</t>
  </si>
  <si>
    <t>U</t>
  </si>
  <si>
    <t>J@gmail.com</t>
  </si>
  <si>
    <t>765</t>
  </si>
  <si>
    <t>jn</t>
  </si>
  <si>
    <t>During my doctoral research in microbial genomics, I have extensively used Python and R for data analysis and modeling. These tools have been instrumental in handling large-scale sequencing data, statistical analysis, and generating visual insights. In Python, I use libraries such as Pandas, NumPy, and Matplotlib for data wrangling and visualization, and SciPy and Scikit-learn for modeling. In R, I rely on tidyverse, ggplot2, and vegan for multivariate statistics, especially in analyzing microbiome and environmental datasets. One notable problem I addressed involved assessing the relationship between climatic variables and the presence of Escherichia coli in surface waters. Using Principal Component Analysis (PCA) in R, I was able to identify which environmental parameters—like rainfall and temperature—contributed most to the variation in E. coli concentration. I complemented this with time-series analysis to study seasonal trends. Additionally, I developed Python scripts to automate data cleaning and standardization across several longitudinal datasets collected from different geographic sites. This significantly reduced processing time and increased reproducibility. These programming skills have become essential tools in my research and are key to my goal of building integrated models for pathogen monitoring under a One Health framework</t>
  </si>
  <si>
    <t>One quantitative concept I frequently apply in my work is regression analysis, particularly multiple linear regression, to explore relationships between environmental variables and microbial contamination in water sources. This method allows me to assess how several predictors contribute simultaneously to the variation observed in a response variable. In one of my studies investigating climate-sensitive waterborne risks in Lake Nokoué and along the Benin coast, I used multiple linear regression to quantify the impact of environmental parameters—such as temperature, rainfall, dissolved oxygen, and nutrient levels—on the concentration of Escherichia coli in water samples. By including all relevant predictors in the model, I was able to identify not only which variables had a statistically significant effect, but also the magnitude and direction of their influence. This approach provided valuable insights into which factors are most critical to monitor in real time to prevent microbial outbreaks. For example, the model revealed that high rainfall and elevated nutrient concentrations were strong predictors of increased E. coli levels. This information informed the design of a community-based early warning system for water quality, linking environmental monitoring with public health decision-making. Additionally, regression diagnostics helped assess the validity of the model—checking for multicollinearity, heteroscedasticity, and normality of residuals—to ensure robust and interpretable results. Overall, regression analysis has been an essential tool in my work, bridging data and decision-making, and contributing to the development of predictive models that support the One Health approach in addressing waterborne diseases.</t>
  </si>
  <si>
    <t>My interest in infectious disease modelling stems from my commitment to addressing persistent public health challenges in low-resource settings. As a PhD candidate in microbial genomics and a researcher engaged in One Health-focused studies, I have witnessed firsthand how infectious diseases—particularly waterborne and neglected tropical diseases—continue to burden vulnerable populations. Modelling offers a powerful tool to better understand disease dynamics, anticipate outbreaks, and inform targeted interventions. During my research on climate-sensitive biological risks in Lake Nokoué and the Benin coast, I realized how environmental, behavioral, and socio-demographic data could be integrated to predict infection risks. However, turning data into actionable insight requires advanced modelling techniques. Infectious disease modelling allows us to simulate real-world scenarios, assess intervention impacts, and support evidence-based policy, especially in contexts where data is scarce. Furthermore, my vision aligns with the One Health approach, which recognizes the interconnectedness of human, animal, and environmental health. Infectious disease modelling provides a framework to address these intersections and develop holistic public health responses. Ultimately, my motivation is rooted in the belief that better models can lead to better decisions—and that empowering local researchers with these tools is key to building resilient health systems in Africa and beyond.</t>
  </si>
  <si>
    <t>I am eager to participate in this course because it offers a unique opportunity to strengthen my analytical and computational skills in infectious disease modelling—an area that is increasingly essential in public health decision-making. As a PhD candidate in Microbial Genomics and a research associate at a bioinformatics and genomics center, I am actively engaged in studies focused on climate-sensitive infectious diseases and antimicrobial resistance. This course directly aligns with my ongoing research, which seeks to understand the environmental and behavioral determinants of infections in West African communities through a One Health lens. By participating, I aim to deepen my understanding of modelling frameworks, enhance my capacity to work with real-world epidemiological data, and apply robust quantitative methods to inform surveillance and prevention strategies. The skills gained will allow me to bridge the gap between genomic research and population-level health responses. In the long term, my goal is to co-develop early warning systems for neglected pathogens and contribute to the design of data-driven public health interventions in Africa. This course represents a crucial step in equipping me with the expertise to lead such initiatives and train the next generation of African scientists in quantitative infectious disease research.</t>
  </si>
  <si>
    <t>https://drive.google.com/open?id=1XzSsJRbv4bcd4cplm1yv4BLpzJcm1urj</t>
  </si>
  <si>
    <t>https://drive.google.com/open?id=1UEeSDLngzjgeblR7QWiK_rcceivfMa_0</t>
  </si>
  <si>
    <t>https://drive.google.com/open?id=1zew79oRBeQuEndccSEanNeAtkKj719C7</t>
  </si>
  <si>
    <t>i m</t>
  </si>
  <si>
    <t>20/04/2025 22:19:31</t>
  </si>
  <si>
    <t>Gambia</t>
  </si>
  <si>
    <t>DIOP</t>
  </si>
  <si>
    <t>Mouhamadou</t>
  </si>
  <si>
    <t>Fadel</t>
  </si>
  <si>
    <t>diop.mfadel@gmail.com</t>
  </si>
  <si>
    <t>+221 773589041</t>
  </si>
  <si>
    <t>Medical Research Council at LSHTM</t>
  </si>
  <si>
    <t>PhD candidate</t>
  </si>
  <si>
    <t>As a bioinformatician with over six years of experience, I have extensively used R and Bash for data analysis and modelling in both academic and clinical research settings. R has been my primary tool for statistical analysis, data visualisation, and building reproducible pipelines using packages like tidyverse, DESeq2, and ggplot2. Bash scripting complements this work by automating workflows, managing large datasets, and integrating tools in high-performance computing environments.
One notable project involved analysing RNA-seq data to identify differentially expressed genes in cancer samples. I developed a pipeline using Bash to preprocess raw sequencing data (quality control, trimming, and alignment) and used R for downstream statistical analysis and functional enrichment. The insights from this analysis contributed to identifying potential biomarkers for early diagnosis.
Through such projects, I’ve developed a strong ability to translate biological questions into computational problems and deliver data-driven insights. My experience also includes mentoring junior researchers and contributing to collaborative, cross-disciplinary projects.</t>
  </si>
  <si>
    <t>One quantitative concept I’ve found particularly impactful in my work is mathematical modelling of infectious diseases, which I explored in depth during a workshop focused on diseases such as malaria. This experience introduced me to the use of differential equations in modelling transmission dynamics, helping me understand how changes in parameters, like transmission rate or recovery rate, affect the overall course of an outbreak. Through hands-on exercises, I worked with compartmental models (like SIR/SEIR models) and learned how to simulate interventions and interpret their impact on disease spread. This not only deepened my appreciation for the role of mathematics in public health but also sharpened my ability to think critically about real-world biological systems through a quantitative lens.
Building on this foundation, I’m now preparing to apply regression analysis in my PhD research. I plan to use generalised linear models to examine the relationships between molecular or genomic features and clinical outcomes. For instance, I’m particularly interested in identifying predictors of treatment response using high-throughput omics data. Regression methods will allow me to quantify associations while adjusting for confounding variables, offering a statistically rigorous approach to uncovering meaningful biological insights.
Both the modelling workshop and my upcoming regression work highlight how quantitative thinking plays a central role in my research. It allows me to move beyond descriptive analysis and toward predictive, hypothesis-driven science, something I find both intellectually satisfying and practically valuable.</t>
  </si>
  <si>
    <t>My interest in infectious disease modelling stems from a deep curiosity about how mathematical and computational tools can help us understand complex biological systems and ultimately improve public health outcomes. During my academic journey in bioinformatics, I became increasingly aware of how data-driven models can reveal hidden patterns in disease transmission, guide interventions, and inform policy decisions, especially in resource-limited settings.
A workshop I attended on modelling infectious diseases, such as malaria, was a turning point. It made me appreciate how even relatively simple models can provide actionable insights into disease dynamics, helping to predict outbreaks or evaluate the potential impact of control strategies like vaccination or vector management.
What excites me most is the potential of these models to bridge science and real-world impact. In a world where infectious diseases continue to challenge global health systems, especially with emerging and re-emerging threats, I see modelling as a vital tool for preparedness and response. I’m motivated by the opportunity to contribute to this field where rigorous analysis can help save lives and shape more resilient health systems.</t>
  </si>
  <si>
    <t>I’m eager to participate in this course because it offers a unique opportunity to deepen my understanding of infectious disease modelling in a structured, interdisciplinary environment. As a bioinformatician, I have a solid foundation in data analysis and a growing interest in applying quantitative models to real-world health challenges. This course would help me bridge the gap between computational skills and epidemiological insight, enabling me to contribute more effectively to public health research.
In the near future, I plan to incorporate regression modelling and other quantitative approaches into my PhD work, particularly in exploring the relationship between genetic data and clinical outcomes. In the long term, I aim to work at the intersection of computational biology and global health, developing models that inform disease surveillance, intervention planning, and health policy, especially in under-resourced settings.
By participating in this course, I hope to gain both theoretical knowledge and practical experience that will directly support these goals. I’m also excited to connect with like-minded researchers and practitioners who are equally passionate about using data and modelling to drive impactful health outcomes.</t>
  </si>
  <si>
    <t>https://drive.google.com/open?id=1ozZiG5LAo4ir96A9XJuRaVChZ8K4Ytuv</t>
  </si>
  <si>
    <t>https://drive.google.com/open?id=1It7OT318DG_LZqRV7iWKtdDjHNFHiyU1</t>
  </si>
  <si>
    <t>https://drive.google.com/open?id=17_4ZVKYeoxBJ5JF-jdJHkIh7AnrQRdMs</t>
  </si>
  <si>
    <t>mouhamadou diop</t>
  </si>
  <si>
    <t>mouhamadou fadel diop</t>
  </si>
  <si>
    <t>Strong programming experience; Needs stronger alignment; Relevant experience</t>
  </si>
  <si>
    <t>22/04/2025 00:30:54</t>
  </si>
  <si>
    <t xml:space="preserve">Aderounmu </t>
  </si>
  <si>
    <t xml:space="preserve">Emmanuel </t>
  </si>
  <si>
    <t>Ayopo</t>
  </si>
  <si>
    <t>aderounmuayopo@gmail.com</t>
  </si>
  <si>
    <t>+2347034571889</t>
  </si>
  <si>
    <t>Ministry of Agriculture Ogun State Veterinary Services Department</t>
  </si>
  <si>
    <t xml:space="preserve">Principal Veterinary Officer </t>
  </si>
  <si>
    <t>I have used Excel for data analysis leveraging its powerful features like pivot tables, formulas, and charts. A notable project involved analyzing epidemiologic data for animal disease surveillance. I used Excel to clean and organize the data, create pivot tables to summarize disease reports from individual surveillance points in the state, and developed forecasts using trendlines.
The problem was to identify unusual surge in notifiable diseases reported, or outbreaks, trends in disease patterns from the different surveillance points and forecast future outbreaks. I used Excel's data validation and conditional formatting features to ensure data accuracy and highlight key insights. By creating interactive dashboards, I enabled the hierarchy to explore the data and make informed decisions by sharing with them.
Tools used: Excel, pivot tables, formulas, charts, and data validation.</t>
  </si>
  <si>
    <t>In my animal disease report analysis, I've applied the concept of descriptive statistics, specifically calculating prevalence rates of diseases in livestock populations. This quantitative concept informed my Excel analysis in several ways:
1. Data summarization: I used Excel to calculate mean, median, and standard deviation of disease incidence rates.
2. Prevalence calculation: I calculated disease prevalence rates using formulas, enabling me to identify disease trends and hotspots. The analysis revealed:
1.Disease distribution: Geographic patterns and trends in disease incidence.
2. High-risk areas: Zones or Local governments with elevated disease prevalence.
In excel ,I use formulas, pivot tables, and charts. This analysis supported evidence-based decision-making in animal health policy and practice.</t>
  </si>
  <si>
    <t>As a veterinarian, my interest in infectious disease modeling is driven by the important role it plays in preventing and controlling zoonotic diseases. By understanding disease transmission dynamics, I aim to contribute to developing effective strategies that protect animal populations, lives and livelihood. Infectious disease modeling would enable me to predict disease outbreaks,Identifying risk factors, anticipate disease outbreaks, evaluate control measures and effectiveness of interventions like vaccination and biosecurity, informed policy by providing data-driven insights to guide animal health and public health decisions. My motivation stems from protecting animal health,preventing zoonotic disease transmission and promoting global health security.
By applying infectious disease modeling, I hope to make a positive impact on animal health, public health, and global health security (One health).</t>
  </si>
  <si>
    <t>I want to participate in this course on disease modeling and pandemic preparedness and response because it aligns with my passion for preventing and controlling infectious diseases in animals and humans. As a veterinarian, I recognize the critical role disease modeling plays in predicting and responding to outbreaks.
I need more quantitative skills, refined strategic thinking, multi sectoral collaboration opportunities for better disease surveillance, and evidence based policy development.
This course will help me gain valuable knowledge and skills to contribute to global health security, protect animal and human health, and advance my career as a veterinarian.</t>
  </si>
  <si>
    <t>https://drive.google.com/open?id=1k9yfa5eVVMBzdDbtdqm8C1arUnBVfVQR</t>
  </si>
  <si>
    <t>https://drive.google.com/open?id=1FxOs9ZJmJjH8f5ftyEaZ2RozWnKvrnUN</t>
  </si>
  <si>
    <t>https://drive.google.com/open?id=154YqbLZj9gDGwgJyqAHbbdfOMgQlXzUm</t>
  </si>
  <si>
    <t>emmanuel aderounmu</t>
  </si>
  <si>
    <t>22/04/2025 01:32:16</t>
  </si>
  <si>
    <t>Cameroon</t>
  </si>
  <si>
    <t>Banboye</t>
  </si>
  <si>
    <t>Raissa</t>
  </si>
  <si>
    <t>Lemfon</t>
  </si>
  <si>
    <t>raissalemfon@gmail.com</t>
  </si>
  <si>
    <t>+237652497362</t>
  </si>
  <si>
    <t>United Methodist Health Board</t>
  </si>
  <si>
    <t>Monitoring and Evaluation officer</t>
  </si>
  <si>
    <t>I did a study in the North West region of Cameroon on the direct cost associated to podoconiosis management. Using the programming language R to solve the problem of knowing which factor influences the direct cost of the disease management over the length of time of the disease. The negative binomial regression was used to predict which variables best fit the model. The incident rate ratio was used to predict the rate at which the variables occur so as to interpret the coefficients of the model used. This statistical analysis helped to understand the burden of the disease in this region.</t>
  </si>
  <si>
    <t>In my work on the length of time of the disease associated with the direct cost, linear and multiple linear regression were used to assess if the age, number of ADLA attacks, and the length of time lived with the disease predict the direct cost of the disease. Meanwhile, the Mann-Whitney and Kruskal-Wallis tests were used to assess the association between patients' characteristics and the annual direct cost. These analyses informed my study on that the longer a person lives with the disease, the more the direct cost reduces over time. The stage and number of ADLA attacks also influence the direct cost of the disease.</t>
  </si>
  <si>
    <t>My motivation comes from the profound impact that infectious diseases have on human populations and the potential for data-driven approaches to mitigate their effects. Infectious diseases spread rapidly and cause widespread morbidity and mortality, as seen with recent pandemics. The sheer scale of human suffering and economic disruption they can cause is my motivation to explore ways to understand and control them.
The spread of infectious diseases is a complex interplay of biological factors (pathogen characteristics, host immunity), behavioral factors (human interaction, hygiene practices), environmental factors (climate, sanitation), and societal factors (healthcare access, policy interventions). Modeling allows us to disentangle these intricate relationships and gain insights into the drivers of epidemics.
Well-constructed models can provide valuable insights for public health decision-making. They can help forecast the trajectory of an outbreak, identify key transmission pathways, evaluate the potential impact of different interventions (vaccination, social distancing, quarantine), and optimize resource allocation. This ability to inform proactive and effective responses is incredibly compelling.
 From a computational perspective, infectious disease modelling presents fascinating challenges. It often involves working with dynamic systems, network analysis, and parameter estimation. Developing and validating these models requires a blend of mathematical, statistical, and computational skills, which aligns with my capabilities.
As a result of me being human, it is imperative to use all available tools to protect human health and well-being. Contributing to the development and application of models that can help prevent suffering and save lives is a significant purpose.
The field of infectious disease modeling is constantly evolving, with new data sources, computational techniques, and a deeper understanding of disease dynamics emerging. This necessitates continuous learning and refinement of models, which is a process I am inherently designed for.</t>
  </si>
  <si>
    <t>Participating in this course on disease modeling for pandemic preparedness and response would be immensely beneficial for enhancing my capabilities and aligning with my purpose of providing comprehensive and accurate information to policymakers. This course would deepen my understanding of the mathematical and statistical underpinnings of epidemic dynamics, the nuances of different modelling approaches, and the critical parameters influencing disease spread. This knowledge would enable me to process and synthesize information related to pandemic preparedness and response with greater accuracy and insight. Furthermore, coming from a low income country where furthering knowledge can be difficult, this course will help me experience contextual scenarios for modeling application.</t>
  </si>
  <si>
    <t>https://drive.google.com/open?id=1cMurkwHi8ZuXqjF8XDmMLQ6-JcNoNdqp</t>
  </si>
  <si>
    <t>https://drive.google.com/open?id=1iR3fPE34rlgjsBJaCWZUCIFafUdqQMy2</t>
  </si>
  <si>
    <t>https://drive.google.com/open?id=1AIWQGmEX55_HCHZU4wgqG-BS-u3jlyk0</t>
  </si>
  <si>
    <t>raissa banboye</t>
  </si>
  <si>
    <t>22/04/2025 05:03:32</t>
  </si>
  <si>
    <t xml:space="preserve">Lungu </t>
  </si>
  <si>
    <t xml:space="preserve">Robert </t>
  </si>
  <si>
    <t>-</t>
  </si>
  <si>
    <t>robertlungu461@gmail.com</t>
  </si>
  <si>
    <t>+260976266250</t>
  </si>
  <si>
    <t xml:space="preserve">National food laboratory -ministry of health Zambia </t>
  </si>
  <si>
    <t xml:space="preserve">Science laboratory technologist </t>
  </si>
  <si>
    <t>While working in the microbiology section at the National Food Laboratory under the Ministry of Health, I was involved in analyzing, recording, and interpreting microbiological data. After incubation, we counted colonies and recorded the results in data sheets. I used Microsoft Excel to organize data, identify results that exceeded acceptable limits, and summarize findings based on WHO standards.
To ensure reliability, we applied basic principles of method validation, particularly accuracy and precision. For example, when we noticed variations in Aerobic Plate Count (APC) results across similar samples, we reviewed our procedures and confirmed that inconsistencies came from sample preparation. By reinforcing standard dilution techniques, we improved both accuracy and repeatability.
Microsoft Word was used to prepare reports with scientific interpretations, helping stakeholders understand whether samples met microbiological standards. This approach ensured quality results and supported timely decisions in food and water safety.</t>
  </si>
  <si>
    <t>In my work at the National Food Laboratory under the Ministry of Health, I have frequently applied probability concepts, particularly in the analysis of microbiological test results. One key application has been in statistical sampling and hypothesis testing when assessing microbial contamination in water or food products.
For example, we often use probability to estimate the likelihood that a sample exceeds acceptable microbiological limits based on a set of observed colony counts. This can be crucial when determining whether a batch of water or food needs further investigation or action. I apply confidence intervals to estimate the range within which the true number of microbial colonies in a population might fall, allowing us to make more informed decisions on product safety and compliance.
Additionally, in some cases, I have used regression analysis to examine trends over time. For instance, if we are monitoring microbial contamination levels in a specific food product, we may use regression to identify whether contamination is increasing or decreasing as a result of specific production changes or hygiene practices. By analyzing this trend, we can correlate potential factors such as changes in storage temperature or raw material sources with observed microbial growth.
These quantitative tools ensure that we aren’t just relying on single observations but can interpret results in a more robust, scientifically sound manner. This strengthens our decision making processes and helps maintain high standards for public health safety.</t>
  </si>
  <si>
    <t>My interest in infectious disease modeling is driven by its critical role in predicting, controlling, and preventing outbreaks that can have wide-reaching impacts on public and global health. As someone working in the National Food Laboratory, I see the importance of disease prevention from a microbial perspective whether in food, water, or the environment. Infectious disease models allow us to understand the dynamics of pathogen spread and identify key factors that influence transmission rates.
By using these models, we can make more informed decisions about interventions, whether through improved sanitation, vaccination strategies, or public health policies. The application of mathematical modeling enables health professionals to predict future outbreaks, assess the effectiveness of interventions, and allocate resources more efficiently, which is especially critical in resource-limited settings.
I’m particularly motivated by the potential to reduce disease burden and improve global health outcomes, especially in under-resourced areas where infectious diseases can have devastating effects. The ability to apply modeling to real-world public health issues excites me because it combines data-driven analysis with tangible solutions that can save lives and improve the health of populations.</t>
  </si>
  <si>
    <t>I am eager to participate in this course because it aligns perfectly with my career goal of contributing to global health through the application of data analysis and scientific research. As someone working in the National Food Laboratory, I already have experience in microbiological testing and food safety, but I believe gaining deeper knowledge in infectious disease modeling will enhance my ability to assess and respond to public health challenges more effectively.This course offers the opportunity to gain advanced skills in epidemiology and statistical modeling, which I can apply to improve my understanding of disease dynamics and prevention strategies. I am particularly interested in how predictive models can be used to forecast outbreaks and guide policy decisions, especially in resource-limited settings.
In the long term, I aim to work at the intersection of public health, laboratory science, and data-driven decision making. By enhancing my expertise through this course, I hope to contribute to more informed.In the long term, I aim to work at the intersection of public health, laboratory science, and data-driven decision-making. By enhancing my expertise through this course, I hope to contribute to more informed health policies and interventions, not only in food safety but in broader global health initiatives. This course is a critical step toward achieving these objectives and making a tangible impact on public health.</t>
  </si>
  <si>
    <t>https://drive.google.com/open?id=1VnMr_zX4UW02_pBirmGrE577E_Hzt-4Z</t>
  </si>
  <si>
    <t>https://drive.google.com/open?id=1FAfLQRTZYlKMt4a63DCXXQyhx8fBdzVZ</t>
  </si>
  <si>
    <t>https://drive.google.com/open?id=11j3gNU-tEhsYilcsB3ueKScP8OQF-v3v</t>
  </si>
  <si>
    <t>robert lungu</t>
  </si>
  <si>
    <t>22/04/2025 10:52:50</t>
  </si>
  <si>
    <t>Omomoh</t>
  </si>
  <si>
    <t>Emmanuel</t>
  </si>
  <si>
    <t>Oyakhilome</t>
  </si>
  <si>
    <t>emmanuelomomoh@gmail.com</t>
  </si>
  <si>
    <t>+2348055911636</t>
  </si>
  <si>
    <t>Africa CDC</t>
  </si>
  <si>
    <t xml:space="preserve">Epidemiologist </t>
  </si>
  <si>
    <t>During my field epidemiology training and subsequent work, I’ve used R extensively for data analysis and modelling. One significant experience involved analyzing Lassa fever surveillance data to understand temporal trends and geographic hotspots. Using packages like tidyverse, lubridate, and ggplot2, I cleaned and transformed raw surveillance datasets, performed time-series analysis, and visualized outbreak patterns across various Nigerian states.
To identify factors associated with increased case fatality, I applied logistic regression modelling using glm() in R, incorporating clinical and demographic variables. This analysis helped guide the national response strategy by pinpointing high-risk populations and periods of peak transmission.
Beyond R, I’ve also worked with Excel (Power Query, PivotTables) and Stata for routine analysis tasks. My ability to script analyses in R not only improved reproducibility but also facilitated automation of routine reports for stakeholders, saving time and reducing errors.
This experience has strengthened my capacity to use data-driven insights to inform public health action.</t>
  </si>
  <si>
    <t>One key quantitative concept I’ve applied in my work is logistic regression, particularly in analyzing health outcomes and risk factors in infectious disease surveillance. Logistic regression is used when the outcome variable is binary (e.g., alive vs. dead, infected vs. not infected), and it helps estimate the probability of an event occurring as a function of one or more independent variables.
During my time with the Nigeria Field Epidemiology and Laboratory Training Program (NFELTP), I worked on a project investigating factors associated with mortality among hospitalized Lassa fever patients. Using logistic regression in R, I examined clinical and demographic variables such as age, sex, symptom duration before admission, and co-morbidities. The outcome variable was survival status at discharge (dead or alive).
The model revealed that delayed presentation (&gt;7 days after symptom onset) and presence of bleeding manifestations were significantly associated with higher odds of death. This insight informed the development of recommendations for early detection, timely referral, and intensified clinical management for high-risk patients.
Understanding and applying logistic regression enabled me to move beyond descriptive statistics to actually quantify risk associations, control for confounding variables, and support evidence-based decision-making. This was particularly valuable during stakeholder presentations, where I translated model outputs (e.g., odds ratios and confidence intervals) into actionable recommendations for public health programming.
This experience highlighted the power of statistical modelling to uncover meaningful relationships in complex datasets and strengthened my ability to use quantitative evidence in guiding disease control strategies.</t>
  </si>
  <si>
    <t>My interest in infectious disease modelling is driven by its power to transform data into actionable insights that save lives. As a field epidemiologist, I’ve witnessed how timely modelling can guide resource allocation, predict outbreak trajectories, and inform targeted interventions. During Nigeria’s Lassa fever outbreaks, I saw how models helped prioritize high-risk areas and support preparedness planning.
What excites me most is the ability to simulate scenarios such as vaccination strategies or the impact of behavior change and anticipate their outcomes before real-world implementation. In a world facing emerging pathogens, climate-driven disease shifts, and global travel, modelling offers a proactive approach to public health.
I’m particularly motivated by its application in low- and middle-income countries, where efficient, data-driven decisions are critical due to resource constraints. Infectious disease modelling bridges science and policy, and I’m passionate about using it to improve health equity and strengthen outbreak preparedness globally.</t>
  </si>
  <si>
    <t>I am eager to participate in this course because it aligns perfectly with my goal of becoming a leading contributor to data-driven outbreak preparedness and response in Africa. With a strong background in field epidemiology, I have seen firsthand the critical role that modelling plays in anticipating disease spread, optimizing interventions, and supporting evidence-based public health decision-making.
This course offers a unique opportunity to deepen my understanding of infectious disease modelling, learn cutting-edge tools and approaches, and engage with global experts and peers. I am particularly interested in strengthening my skills in scenario-based modelling and real-time data application to better support national and regional responses to emerging health threats.
As I continue working with national public health institutions and international partners, I intend to apply the skills from this course to strengthen surveillance systems, improve outbreak forecasting, and guide effective preparedness strategies. Ultimately, this training will help me contribute more meaningfully to global health security, especially in resource-limited settings where efficient decision-making is vital.</t>
  </si>
  <si>
    <t>https://drive.google.com/open?id=1fBfes7naKqkUvESEA9u9O9ki7FU1KiFS</t>
  </si>
  <si>
    <t>https://drive.google.com/open?id=1t55rn0Uv01dDGOQq-ftp-fndhjxh0RxQ</t>
  </si>
  <si>
    <t>https://drive.google.com/open?id=10rBnXyWvFmAJlH8ka0B-oCJpWvqd00-T</t>
  </si>
  <si>
    <t>emmanuel omomoh</t>
  </si>
  <si>
    <t>22/04/2025 18:14:12</t>
  </si>
  <si>
    <t>Yohannes</t>
  </si>
  <si>
    <t>Gedeon Yohannes</t>
  </si>
  <si>
    <t>gedeonyohannes6@gmail.com</t>
  </si>
  <si>
    <t>+251911125772</t>
  </si>
  <si>
    <t>PMI Evolve</t>
  </si>
  <si>
    <t>Entomologist</t>
  </si>
  <si>
    <t>I have taken intermediate courses on python, R programming language. I wantd to improve my knowledge and skills for further update my knowledge. I have also taken courses of Gis such as Arc gis and qgis. I have breif knowledge of mapping.</t>
  </si>
  <si>
    <t>I have taken descriptive and inferential statistics courses. I have published and copublished various research articles which calls for data analysis. I have calculated significance relationship, used linear and multiple regression in software such as spss and stata besides taken theoretical courses.</t>
  </si>
  <si>
    <t>I have been working in neglected disease control in Ethiopia. The control of malaria, Onchocersiasis, leishmaniasis, lymphatic filariasis, guinae worms etc in Ethiopia. Modelling would help for predicting the status of different diseases and encourage preparedness</t>
  </si>
  <si>
    <t>I have been working in various neglected tropical disease control and this course would improve my knowledge and skills in the control effot</t>
  </si>
  <si>
    <t>https://drive.google.com/open?id=10R_f38D1jqc_6rz0y07oT1MCPsQHeFZQ</t>
  </si>
  <si>
    <t>https://drive.google.com/open?id=1N1SAzfl4EubL1kibvyA95YG5HtFzxybd</t>
  </si>
  <si>
    <t>https://drive.google.com/open?id=1myHfrUwMk_XebyqmEGG6yRpOvuhslnJw</t>
  </si>
  <si>
    <t>gedeon yohannes yohannes</t>
  </si>
  <si>
    <t>gedeon yohannes</t>
  </si>
  <si>
    <t>23/04/2025 09:55:57</t>
  </si>
  <si>
    <t>Republic of Guinea</t>
  </si>
  <si>
    <t>KOLLIE</t>
  </si>
  <si>
    <t xml:space="preserve">Tina </t>
  </si>
  <si>
    <t>Confort</t>
  </si>
  <si>
    <t>kollietinaconfort575@gmail.com</t>
  </si>
  <si>
    <t>+224 620 419 565</t>
  </si>
  <si>
    <t>WFP (PAM) as Assistant RAM/Data Analyst</t>
  </si>
  <si>
    <t>Statistician</t>
  </si>
  <si>
    <t>I have solid experience using Python and R for data analysis and modelling. In my current role as Assistant RAM/Data Analyst at the World Food Programme (WFP), I regularly use Python for data cleaning, exploratory analysis, and visualization. Libraries such as Pandas, NumPy, Matplotlib, and Seaborn have been instrumental in processing large, complex datasets collected from field monitoring and protection activities.
One notable project involved analysing beneficiary feedback data collected through the MoDa platform. The challenge was to identify trends in complaints and feedback across multiple regions and time periods. I developed a Python script that automated data cleaning, categorized feedback into themes using keyword matching and natural language processing techniques, and produced interactive visualizations. This helped our team quickly detect priority issues, enabling timely responses to community concerns.
Additionally, I have used R for statistical modelling, including regression analysis and hypothesis testing, during my Master’s program in Statistics in Kenya. These skills have strengthened my capacity to translate raw data into actionable insights for programmatic decision-making.</t>
  </si>
  <si>
    <t>One important quantitative concept I have applied is regression analysis. It is a statistical method used to study the relationship between a dependent variable and one or more independent variables. This technique helps understand how certain factors influence outcomes and is valuable for data-driven decisions.
During my Master’s studies in Statistics, I used multiple linear regression to examine how socio-economic factors like income, education level, and household size affect food security. This analysis helped identify which factors had the strongest impact on household vulnerability, providing recommendations for targeted interventions.
In my role at the World Food Programme (WFP), I applied logistic regression to analyze beneficiary satisfaction data collected through the MoDa platform. I explored how factors such as response time, type of assistance, and delivery method affected the chances of beneficiaries giving positive feedback. The results showed that quick response times and clear communication significantly improved satisfaction.
Using regression in these situations allowed me to go beyond basic data summaries and understand patterns and predictive relationships. It provided evidence to improve operational decisions, prioritize areas for action, and better respond to the needs of the communities we serve.</t>
  </si>
  <si>
    <t>My interest in rainfall, infectious disease modelling stems from its vital role in improving public and global health outcomes. During my academic and professional journey in statistics and data analysis, I have witnessed how data-driven insights can influence decision-making and save lives, especially in vulnerable communities. Infectious disease modelling provides a powerful tool to predict outbreaks, understand transmission patterns, and evaluate intervention strategies.
Working with the World Food Programme (WFP), I have seen firsthand how health crises, like epidemics, disrupt food security, livelihoods, and community stability. This experience deepened my curiosity about how mathematical models can be used to support early warning systems, optimize resource allocation, and guide public health responses.
I am particularly drawn to its potential in low-resource settings, where timely and evidence-based actions are critical. By combining my background in statistics, humanitarian data analysis, and public health concerns, I am motivated to contribute to developing models that can help anticipate and manage infectious disease risks, ultimately improving the health and resilience of affected populations.</t>
  </si>
  <si>
    <t>I am eager to participate in this course because it offers a unique opportunity to strengthen my skills in infectious disease modelling and deepen my understanding of its practical applications in public health. As a Data Analyst working with the World Food Programme (WFP), I am constantly engaged in analysing humanitarian data to support evidence-based decisions. However, I believe that advancing my knowledge in disease modelling will broaden my ability to contribute to public health interventions, especially in emergency and crisis settings.
This course aligns perfectly with my long-term goal of pursuing a Ph.D. in Biostatistics, with a focus on infectious diseases and public health. By learning advanced modelling techniques and exploring real-world applications, I aim to enhance my capacity to support health programs, contribute to early warning systems, and participate in multidisciplinary responses to disease outbreaks.
Ultimately, this course will help bridge the gap between my current work in humanitarian data analysis and my future academic and professional aspirations in global health, allowing me to make a greater impact in vulnerable communities.</t>
  </si>
  <si>
    <t>https://drive.google.com/open?id=1G2R4RM4c1pU-Wibx7BEsKvczn5N3m1jz</t>
  </si>
  <si>
    <t>https://drive.google.com/open?id=1odS_hvCQ4s5w9_sEV3oQe0BA-ZP2S9-X</t>
  </si>
  <si>
    <t>https://drive.google.com/open?id=1EK5PvR5ZQVxmWCBnjdMrDlSo_gIXHgQr</t>
  </si>
  <si>
    <t>tina kollie</t>
  </si>
  <si>
    <t>23/04/2025 10:31:20</t>
  </si>
  <si>
    <t xml:space="preserve">TCHAMEN </t>
  </si>
  <si>
    <t>Borel</t>
  </si>
  <si>
    <t>DJIAPPI</t>
  </si>
  <si>
    <t>borel_tchamen@yahoo.com</t>
  </si>
  <si>
    <t>+237 69 498 6887</t>
  </si>
  <si>
    <t>OCEAC (Organisation de Coordination pour la lutte contre les Endémies en Afrique Centrale)</t>
  </si>
  <si>
    <t>Postdoctoral research fellow</t>
  </si>
  <si>
    <t>During my PhD thesis (2020-2024), I studied the ecology and distribution of Aedes mosquitoes along an urbanization gradient in the city of Yaoundé, Cameroon, utilizing R software for comprehensive data analysis. I determined species richness and mosquito abundance based on habitat type, breeding site, and seasonal variations. To visualize species diversity, I constructed individual-based rarefaction curves using the package ‘’vegan’’.
I run the Generalized Linear Models (GLMs) to assess the effects of habitat types and seasons on mosquito occurrence, utilizing the package ‘’car’’ for robust statistical analysis. Additionally, I applied Dunnett’s T3 test to compare the Aedes breeding Container index across different sites.
Also, when evaluating the efficacy of ovitraps for sampling Aedes mosquitoes, I used a general linear model to identify statistical differences between positive ovitraps in various ecological zones. This analysis provided critical insights into the effectiveness of sampling methods. Through these experiences, I have developed a strong foundation in R for data analysis and modeling.</t>
  </si>
  <si>
    <t>In my research work, I utilized the Generalized Linear Models (GLMs), a quantitative concept that extends traditional regression analysis to accommodate various types of response variables. For instance, while studying the ecology and distribution of Aedes mosquitoes, I applied GLMs to assess the effects of habitat types, breeding sites, and seasonal variations on mosquito occurrence.
By using a chi-squared distribution with type III sums of squares, I was able to analyze how different environmental factors influenced mosquito populations. This approach allowed me to quantify the relationships between the predictors and the response variable, providing insights into which factors were statistically significant in determining mosquito distribution and abundance.
The results from the GLM informed my analysis by highlighting critical periods and habitats type that required targeted vector control interventions. This quantitative framework not only enhanced the rigor of my findings but also contributed to developing effective public health strategies for managing occurrence of arbovirus diseases in Yaoundé. Overall, the use of GLMs was instrumental in transforming complex ecological data into actionable insights for disease prevention.</t>
  </si>
  <si>
    <t>My interest in disease modeling is driven by the need to predict disease outcomes, particularly in the context of arbovirus diseases emergence in Africa. As a postdoctoral researcher working epidemiological factors responsible for dengue emergence in the city of Yaoundé, Cameroon, I am aware how effective modeling can inform public health strategies for managing mosquito-borne diseases.
Modeling will allow me to simulate disease transmission dynamics and evaluate the impact of various interventions, which is crucial for timely responses to outbreaks. Given the increasing frequency of arbovirus outbreaks in Africa, enhancing my skills in disease modeling will enable me to contribute to more effective public health strategies.
So far, my background in data analysis equips me to engage with the quantitative aspects of modeling, such as regression analysis, which helps clarify the relationships between environmental factors and vector abundance. Indeed, I am eager to deepen my understanding on predictive techniques to improve disease prevention and response strategies in my community and beyond.
Henceforth, participating in this workshop will provide me with the tools and skills required to make a meaningful impact on global health initiatives, ultimately helping to mitigate the effects of infectious diseases in vulnerable populations.</t>
  </si>
  <si>
    <t>I want to participate in this training course on Disease Modelling for Pandemic Preparedness and Response because it directly aligns with my career goals of advancing my expertise in infectious disease epidemiology, particularly regarding arbovirus diseases emergence. To date, I am keenly aware of the increasing frequency of diseases outbreaks in Africa and there is a urgent need for effective predictive models to inform public health strategies.
Indeed, this course will provide me with advanced skills and knowledge in disease modeling techniques, enabling me to better understand the dynamics of disease transmission and the factors influencing outbreaks. By learning from experts in the field, I will gain insights into best practices and innovative approaches that I can apply in my current research and public health initiatives.
Moreover, participating in this workshop will enhance my ability to contribute to global health efforts, particularly in developing effective responses to emerging infectious diseases. Ultimately, this training will empower me to make a meaningful impact in my country and beyond, helping to improve disease prevention and response strategies in high risk areas.</t>
  </si>
  <si>
    <t>https://drive.google.com/open?id=13DoYkbaQgjs3-qCCmjsiSBhhM1NYlf5t</t>
  </si>
  <si>
    <t>https://drive.google.com/open?id=1_EysKEL_s3VQOGpBNCjxULZoqh8QXH47</t>
  </si>
  <si>
    <t>https://drive.google.com/open?id=1_luzGS3-SXpQRVeQyMV4RdyT70Wk8JG5</t>
  </si>
  <si>
    <t>borel tchamen</t>
  </si>
  <si>
    <t>Limited programming exposure; Needs stronger alignment; Relevant experience</t>
  </si>
  <si>
    <t>23/04/2025 12:19:53</t>
  </si>
  <si>
    <t>Sierra Leone</t>
  </si>
  <si>
    <t>Bunting-Graden</t>
  </si>
  <si>
    <t>Joseph</t>
  </si>
  <si>
    <t>Anderson</t>
  </si>
  <si>
    <t>jbuntinggraden@gmail.com</t>
  </si>
  <si>
    <t>+23278767767</t>
  </si>
  <si>
    <t>National Public Health Agency</t>
  </si>
  <si>
    <t>One Health Coordinator</t>
  </si>
  <si>
    <t>I have a training on STATA and a basic training on 'R'. I preferably utilize the latter to analyze data to enhance my learning during practical sessions in pursuit of my Epidemic Tract Fellowship Program of the Africa CDC. A typical experience to relate is in examining the facilitating factors of male circumcision in a large scale field study conducted in a fictitious Mara, Kagera and Mbeya Regions in 2008. The key objectives were: to determine association between predictive factors and male circumcision and to analyze the association between the determinants and male circumcision. My interesting experience 
 was in data cleaning of the dataset which I will briefly relate thus: the data cleaning of our dataset was initiated using the robust data management capabilities of the ‘R’ statistical software. The cleaning and organizing process was run using the ‘drop-na’ ( ) function. The ‘mutate’ ( ) function was subsequently used to recode variables with poor distribution. This process was followed by the removal of missing values using the ‘drop-na’ ( ) function and attributes were assigned to codes by commanding the ‘mutate’ ( ) function. To ensure data accuracy, we again command the ‘collapse’ ( ) function to combine attributes of variables that had poor distribution after the 2 by 2 analysis. This interesting experience sets a good premise for me to desire more training in the application of the 'R' for data analysis.</t>
  </si>
  <si>
    <t>Building on the premise set in (i) above, based on the given dataset (n=489), we summarized continuous variables using percentages for our categorical variables: circumcised (55.4%; 271/489) and uncircumcised (44.6%; 218/489) with participant’s mean age at 29.84 (STD 7.7 years). To effectively analyze and describe the data, the “frequency” function under the “descriptive statistics” of the ‘analyze’ function was employed which facilitated the recoding of all continuous variables such as “age” and “monthly family income” into ordinal variables. To create a clear and informative data visualization of the descriptive statistic of our demographic variables, proportions were generated and presented using a simple summary visual displays in charts. Analysis of our survey findings indicate that there is an association between a range of the socio-demographic characteristics and male circumcision.  The summary data shows that 55.4% (271/489) of the participants surveyed reported having taken up circumcision and 44.6% (218/489). Also, the result of our multivariate regression analysis found an association between education and male circumcision. We further employed the utility of the chi-square test to assess the association between socio-demographic variables with male circumcision. To determine a cofounding factor and interactions in the association between male circumcision and facilitating factors, the bivariate binary logistic regression model was initially run to assess crude odds ratio and statistical significance. With the Multivariate binary logistic regression model, confounding and reactions between variables were adjusted for. Recognizing the extreme circumcision prevalence value (100%) of the tribe attribute, we decline its inclusion to the overall model. However, our analysis identified that the association between the socio-demographic variables and male circumcision saw a dual influence of confounding and interactions.</t>
  </si>
  <si>
    <t>I was the incident manager in response to the Ebola outbreak at the disease epicenter district (Kenema), Sierra Leone, in 2014. My experience in coordinating the response and controlling the outbreak was largely guided by the limited data generated from the response pillars; whether it involves the surveillance, case management, logistics, nutrition or safe and dignified burial. Data though limited at the time but was unequivocally fundamental for projections and estimation of critical and future needs/demands of the populations at risk. Those estimates, based on the data available (not without discrepancies at times), however, they informed decision-making of the Task Force and guided reviews of our operational interventions when they failed to produce the desired results. Now, the concept of disease modelling in the wake of emerging and complex public health events, avails an opportunity to strengthen my skills and to effectively contribute to efforts in mitigating infectious disease threats to populations. This training will undoubtedly elevate my knowledge in addressing epidemics/pandemics better than I did a decade ago. Moreover, i have since been desirous of learning disease modelling to enhance my career as an epidemiologist in addressing emerging and complex public health challenges.</t>
  </si>
  <si>
    <t>My Country Sierra Leone falls within the bracket of LMICs category and faces recurrent challenges of infectious disease outbreaks yet the skills gap in disease modelling capacity are wide. Based on my experience in the response to the Ebola outbreak in Sierra Leone, I was motivated to pursue advanced skills in public health emergency management in Makerere University, Uganda. This foundation inspired the pursuit of my current career as an One Health practitioner.  However, addressing public health threats at the human, animal and environmental interface has been a critical challenge in my experience working with public health experts of multidisciplinary skills. Weak data generation and harmonization/integration across disciplines and sectors to accurately inform public health actions has impacted on the optimal use of resources ( human, financial etc.). In my strategic official capacity in coordinating government sectors and partners, this course will ably equip me to support sound leadership decision-making not only for epidemics but also for endemic disease threats. I am optimistic that my participation in this training will equip me with the requisite skills to enrich my contribution using a multidisciplinary approach to epidemic or endemic disease threats.</t>
  </si>
  <si>
    <t>https://drive.google.com/open?id=1OAoE1PaNCRT0QMyp9yiCw4TfRcxp4UBi</t>
  </si>
  <si>
    <t>https://drive.google.com/open?id=1TOq9uXc5hKOR74_M3kKSdzbBx-LTEm_8</t>
  </si>
  <si>
    <t>https://drive.google.com/open?id=1ESpa5QVc-_cllohqEGYEGkWc3D07ZT19</t>
  </si>
  <si>
    <t>joseph bunting-graden</t>
  </si>
  <si>
    <t>graden g-wac - joseph anderson bunting-graden</t>
  </si>
  <si>
    <t>Moderate programming skills; Needs stronger alignment; Limited relevant experience</t>
  </si>
  <si>
    <t>24/04/2025 08:33:53</t>
  </si>
  <si>
    <t>KEMIYONDO</t>
  </si>
  <si>
    <t>HONEST</t>
  </si>
  <si>
    <t>khonestie@gmail.com</t>
  </si>
  <si>
    <t>+256775825065</t>
  </si>
  <si>
    <t>Ministry of Agriculture, Animal Industry and Fisheries</t>
  </si>
  <si>
    <t>Veterinary Epidemiologist</t>
  </si>
  <si>
    <t>I have used SPSS,STATA and R programming for data analysis.I handle animal health data at country level for both transboundary and zoonotic animal disease.I have used all the progamming languages for prevelance studies for different animal diseases and for prediction of factors associated with these diseases for example rift valley fever, antimicrobial resistace ,foot and mouth disease, etc</t>
  </si>
  <si>
    <t>i have used regression analysis to predict risk factors for occurrence of animal disease outbreaks and these have helped to determine which interventions the government can institue to reduce the occurance and losses to farmers and for public health purposes</t>
  </si>
  <si>
    <t>70% of human diseases originate from animals and thus if we can predict risk factors that can cause these diseases we can control then at animal level without spill over into the human population but this also informs the interventions and efficient use of resources</t>
  </si>
  <si>
    <t>I want to deepen my knowledge in infectious disease modelling to improve my day to day efficiency for more evidence based decision making but also for my career as an epidemiologist, this is a vital skill</t>
  </si>
  <si>
    <t>https://drive.google.com/open?id=1YNpknbc2c0-Gz5Q_hbuG42eZwBfVvorD</t>
  </si>
  <si>
    <t>https://drive.google.com/open?id=1c6zAe46JGA-E_Sd7OfgZATwEIaGIuSXt</t>
  </si>
  <si>
    <t>https://drive.google.com/open?id=1RWjeIJBt7OyZ8etQhQf7JZm-Wn44RSMK</t>
  </si>
  <si>
    <t>honest kemiyondo</t>
  </si>
  <si>
    <t>24/04/2025 11:16:58</t>
  </si>
  <si>
    <t>Boampong</t>
  </si>
  <si>
    <t xml:space="preserve"> Desmond</t>
  </si>
  <si>
    <t>Sarfo</t>
  </si>
  <si>
    <t>desmondboampong@gmail.com</t>
  </si>
  <si>
    <t>+233242573584</t>
  </si>
  <si>
    <t>University of Cape Coast</t>
  </si>
  <si>
    <t>Student</t>
  </si>
  <si>
    <t>R programming software has been my primary tool for data analysis and modelling during my academic and research careers. I have used R in several projects, including my recent investigation into antimicrobial resistance (AMR) among nursing mothers in Cape Coast, Ghana. This study utilised R for statistical analysis, data cleaning, and visualisation to identify variables influencing antibiotic misuse. I conducted univariate, bivariate, and multivariate logistic regression analyses. The findings of the analysis are being prepared for publication. I have also completed the Johns Hopkins University Data Science Specialisation on Coursera to enhance my skills. The programme included topics such as machine learning, data manipulation, and the development of interactive web applications using Shiny. This training has enabled me to manage complex datasets and perform advanced analyses. I plan to investigate the genetic composition and prevalence of extended-spectrum beta-lactamase (ESBL)-producing Escherichia coli in Ghana for my upcoming MPhil thesis. This study will employ R packages such as "surveillance" for outbreak detection and "deSolve" for solving differential equations to model transmission dynamics, in alignment with the One Health approach.
My proficiency in R for comprehensive epidemiological research is evidenced by these experiences.</t>
  </si>
  <si>
    <t>As an MPhil epidemiology student and research assistant at the department of biomedical science at UCC, I have applied quantitative methods to address complex public health challenges. One notable example is my use of Generalised Additive Models (GAMs) in analysing the relationship between environmental factors and respiratory health outcomes. By employing the 'mgcv' package in R, I was able to model non-linear relationships and identify critical thresholds of pollutant exposure that significantly impact respiratory health. This approach provided nuanced insights that informed targeted public health interventions.
In addition to GAMs, I have utilised LASSO (Least Absolute Shrinkage and Selection Operator) regression to handle high-dimensional datasets, particularly in studies examining multiple risk factors for antimicrobial resistance (AMR), which is my research interest. Using the 'glmnet' package in R, I performed variable selection and regularisation, which enhanced the predictive accuracy of my models and facilitated the identification of key determinants of AMR patterns in the community.
These quantitative methods have been integral to my research, enabling me to uncover complex relationships within data and contribute to evidence-based public health strategies. My proficiency in R and these advanced analytical techniques positions me well to engage with the G-WAC program's focus on disease modelling and pandemic preparedness.</t>
  </si>
  <si>
    <t>As an aspiring public health data scientist with a background in biomedical science and epidemiology, I am interested in infectious disease modelling due to its importance in understanding and controlling disease transmission dynamics.  My passion intensified during my research on antimicrobial resistance (AMR), where I identified the potential of data-driven models to predict resistance patterns and enhance intervention strategies.
 Infectious disease modelling provides a framework to simulate outbreaks, evaluate intervention effectiveness, and allocate resources efficiently in local and global health responses.  In low-resource settings such as Ghana, these models can inform evidence-based policies, decrease preventable deaths, and enhance health system preparedness.
 The COVID-19 pandemic and the persistent issue of antimicrobial resistance (AMR) highlighted the necessity for innovative modelling approaches to facilitate timely decision-making.  My objective is to utilise advanced tools, including machine learning, compartmental models, and geospatial analysis, to enhance surveillance, inform policy formulation, and improve public health response.
 Participation in the G-WAC programme aligns with my long-term goal of integrating infectious disease modelling into public health systems in Africa, thereby contributing to global health security.</t>
  </si>
  <si>
    <t>I am an MPhil Epidemiology  student with a background in biomedical science. I focus on infectious diseases and antimicrobial resistance (AMR) in my academic and research pursuits. 
Enrolling in the G-WAC Disease Modelling for Pandemic Preparedness and Response course offers an important chance to improve my skills in disease modelling, an essential method for forecasting and managing infectious disease outbreaks. The course focuses on One Health approaches, aligning with the challenges in sub-Saharan Africa, which corresponds with my research objectives and the public health needs of my community.
Integrating the modelling techniques and insights from this course into my current and future research will enable me to contribute to data-driven strategies for AMR mitigation and pandemic preparedness in Ghana. The collaborative environment at G-WAC won't only give me skills and knowledge, but it will also help me to interact with experts and peers, promoting interdisciplinary collaborations necessary for tackling global health issues.</t>
  </si>
  <si>
    <t>https://drive.google.com/open?id=11YE6dJNQ69RUfkLRpBK5h2O98BXNhO50</t>
  </si>
  <si>
    <t>https://drive.google.com/open?id=1HoCi1Og_N4CTs0qevwsYSLyTAj2D-lG7</t>
  </si>
  <si>
    <t>https://drive.google.com/open?id=1UDMvWHw3wQ07fxuYAc5vIb6pmOil-zjX</t>
  </si>
  <si>
    <t>desmond boampong</t>
  </si>
  <si>
    <t>24/04/2025 14:52:18</t>
  </si>
  <si>
    <t xml:space="preserve">Mushabe </t>
  </si>
  <si>
    <t>Brian</t>
  </si>
  <si>
    <t>andrewmushabe@gmail.com</t>
  </si>
  <si>
    <t>+256779216562</t>
  </si>
  <si>
    <t>Parliament of Uganda-Committee on Health</t>
  </si>
  <si>
    <t>Biostatistician</t>
  </si>
  <si>
    <t xml:space="preserve">In my previous publication on ethical considerations in medical research "https://bmcmedethics.biomedcentral.com/articles/10.1186/s12910-025-01181-w" i used both Stata and R. R's statistical capabilities were integral in analysing survey collected from health professions regarding their views on these ethical issues. I employed various R packages such as dplyrfor data manipulation and ggplot for visualisation of the results. After cleaning the dataset, i did descriptive statistics to summarise participants responses and later used multinational logistic regression to determine the predictors. 
One challenge i faced was to show how different professional backgrounds influenced perceptions of consent and transparency. I identified key variables that influenced these perceptions providing valuable insights into potential areas for improving research practices. 
The use of R allowed me to generate informative results hence effectively communicating my results to both academic and clinical audiences. This experiences highlighted the power of data analysis in addressing ethical dilemmas in healthcare hence improving research ethics. 
</t>
  </si>
  <si>
    <t xml:space="preserve">While at graduate school, I used differential equations to model HIV progression dynamics for those who initiate ART and those who don't and the impact it has on Disability Adjusted life years. The model divided the population into five compartments. Those that are susceptible, Infected, infected and on treatment, infected and not on treatment and proceed to AIDS. Each compartment was governed by a set of differential equations that described the flow of individuals between the states based on parameters such as infection rates, treatment initiation and disease progression. For example, the rate of new infections was modelled as a function of the susceptible population and the force of infection. In contrast, progression to AIDS was modelled based on the treatment status. 
By analysing the model at both the disease-free and endemic equilibria, I was able to derive critical insights into HIV progression in Uganda. The stability analysis revealed conditions under which the disease could progress or be controlled. 
The results were pivotal in estimating DALYs associated with HIV in Uganda. I calculated years of life lost (YLL) and years lived with disability (YLD) and quantified the burden of the disease. The analysis revealed that despite the advancement in HIV management, it still poses a significant challenge in Uganda. The use of differential equations not only helped with my analytical framework but also provided a robust basis for policy recommendation. 
</t>
  </si>
  <si>
    <t xml:space="preserve">My interest in infectious disease modelling stems from the recent global challenge of COVID-19, MPOX and EBOLA for the sake of Uganda. Infectious diseases don't respect borders and their effects can be catastrophic, affecting health systems, economies and communities at large. I am particularly motivated by the ability of modelling to provide insights that guide public health interventions and resource allocation. These models show vulnerable populations, and the effectiveness of vaccination strategies anticipates the outcome of public health interventions. I am also drawn to this course because of the intersection of mathematics, biology and data science. 
Ultimately, as a statistician at parliament, my goal is to empower policymakers to make informed decisions that enhance global health security in the face of future infectious disease threats. </t>
  </si>
  <si>
    <t xml:space="preserve">I am eager to participate in this course because it presents a unique opportunity to deepen my understanding of mathematical modelling of infectious diseases. As I strive to build a career, I appreciate the need to acquire both theoretical and practical skills in mathematical modelling. This course will, without doubt, offer comprehensive insights and hands-on skills that will ultimately enhance my career development. 
Furthermore, the network and connections that I am likely to gain through this program will be invaluable as I seek to collaborate with professionals and mentors in my field. I believe that the skills and experiences that I will gain will serve as a solid foundation for my future endeavours. </t>
  </si>
  <si>
    <t>https://drive.google.com/open?id=19pI7DvWBxTYHSNRU8h_Eke3ZW3tjhABz</t>
  </si>
  <si>
    <t>https://drive.google.com/open?id=1k9bs8I7AauGmfoOE14q8vRgCdBFcRfv6</t>
  </si>
  <si>
    <t>https://drive.google.com/open?id=1Odq-zMRbx9bE7VofUX87jsIU77v41foK</t>
  </si>
  <si>
    <t>brian mushabe</t>
  </si>
  <si>
    <t>suleiman mustapha</t>
  </si>
  <si>
    <t>24/04/2025 19:22:32</t>
  </si>
  <si>
    <t>Atror</t>
  </si>
  <si>
    <t>Chris</t>
  </si>
  <si>
    <t>Makafui</t>
  </si>
  <si>
    <t>dr.chrismakafuiatror@gmail.com</t>
  </si>
  <si>
    <t>+233241699403</t>
  </si>
  <si>
    <t>Ghana Health Service</t>
  </si>
  <si>
    <t>Medical Laboratory Scientist</t>
  </si>
  <si>
    <t>I have experience using Python for disease modelling to support pandemic preparedness and response efforts. Leveraging libraries such as Pandas, NumPy, Matplotlib, and SciPy, I developed and analyzed compartmental models (SIR/SEIR) to simulate the spread of infectious diseases under various intervention scenarios.
In one project, I built an SEIR model to assess the potential impact of different public health measures—such as social distancing, vaccination, and quarantine—on COVID-19 transmission in a mid-sized population. I calibrated the model using real-time case data and parameters from peer-reviewed studies. Visualization tools like Matplotlib and Plotly were used to communicate the trajectory of infections, recoveries, and hospitalizations under different scenarios.
The results provided valuable insights for stakeholders, highlighting the importance of early intervention and targeted resource allocation. This project underscored the role of programming and data-driven modelling in supporting timely and effective pandemic response strategies</t>
  </si>
  <si>
    <t>A key quantitative concept I’ve applied in disease modelling for pandemic preparedness and response is differential equations, particularly through compartmental models like the SEIR (Susceptible-Exposed-Infectious-Recovered) framework. These models are governed by systems of ordinary differential equations (ODEs) that describe how individuals transition between different health states over time.
In a project aimed at evaluating the impact of intervention strategies during a viral outbreak, I used Python along with libraries such as NumPy, SciPy, and Matplotlib to implement and solve the SEIR model. The model incorporated critical parameters such as the transmission rate (β), incubation rate (σ), and recovery rate (γ). By numerically solving the system of ODEs, I was able to simulate the epidemic curve under various scenarios.
For instance, I explored how changes in contact rates due to lockdowns or social distancing measures influenced the reproduction number (R₀) and the timing and size of the infection peak. One simulation showed that reducing the contact rate by just 25% could significantly flatten the curve and delay the peak, allowing healthcare systems more time to respond. I also incorporated vaccination rollout rates into the model to assess their long-term effects on herd immunity and outbreak suppression.
This modelling approach provided data-driven insights into which strategies could be most effective in minimizing the spread and impact of an infectious disease. Differential equations offered a robust, quantitative foundation for understanding dynamic disease transmission, making it possible to inform timely public health interventions and resource planning.</t>
  </si>
  <si>
    <t>My interest in infectious disease modelling stems from a deep commitment to improving public health outcomes through evidence-based decision-making. The COVID-19 pandemic made it clear how crucial timely data and accurate projections are in guiding responses to outbreaks. I was particularly drawn to how mathematical models—using real-world data and scientific assumptions—can forecast disease spread, evaluate interventions, and ultimately save lives.
What motivates me most is the potential of modelling to bridge the gap between science and policy. In resource-limited settings, especially in parts of the world vulnerable to emerging infectious diseases, models can inform targeted interventions, optimize resource allocation, and support preparedness planning before crises escalate.
I find fulfilment in using analytical tools to address real-world problems that impact millions. Infectious disease modelling is not just a technical discipline; it's a vital instrument for equity and global health security. I’m excited about the opportunity to contribute to a field where data science directly supports disease prevention, health system resilience, and the well-being of entire populations.</t>
  </si>
  <si>
    <t>I am eager to participate in this course because it offers the practical and theoretical foundation needed to effectively use disease modelling in real-world public health challenges. As someone passionate about global health and health systems strengthening, I see infectious disease modelling as a critical tool for anticipating outbreaks, planning interventions, and supporting data-driven policies, especially in low-resource settings.
This course aligns perfectly with my long-term goal of contributing to public health preparedness and emergency response efforts, both nationally and globally. I aim to work with public health institutions or international agencies where I can use modelling to inform early warning systems, evaluate outbreak scenarios, and optimize resource distribution during health emergencies.
By learning from leading experts and collaborating with peers, I hope to deepen my understanding of modelling techniques, data interpretation, and policy application. This course will help me develop the skills to build impactful models that support rapid, strategic responses to future pandemics—ultimately contributing to more resilient health systems and improved outcomes for vulnerable populations.</t>
  </si>
  <si>
    <t>https://drive.google.com/open?id=1OhKlLOmmSZe_l1isaf3iyDsOPajOplXr</t>
  </si>
  <si>
    <t>https://drive.google.com/open?id=1v5PFNVdrwYNJ3OCQXTUJYDaI4KX_Wsr5</t>
  </si>
  <si>
    <t>https://drive.google.com/open?id=1Jx7c-xy3yrB-tNW1KW48PT6Igv05XRcc</t>
  </si>
  <si>
    <t>chris atror</t>
  </si>
  <si>
    <t>chris makafui atror</t>
  </si>
  <si>
    <t>25/04/2025 08:56:24</t>
  </si>
  <si>
    <t>Aliyu</t>
  </si>
  <si>
    <t xml:space="preserve">Nuhu </t>
  </si>
  <si>
    <t>Dogondaji</t>
  </si>
  <si>
    <t>nuhualidd@gmail.com</t>
  </si>
  <si>
    <t>+2348069678313</t>
  </si>
  <si>
    <t>Sokoto State Ministry of Health</t>
  </si>
  <si>
    <t>Epidemiology</t>
  </si>
  <si>
    <t xml:space="preserve">As a trained field epidemiologist and public health practitioner, I have actively used R, SPSS, Stata, and Epi Info for disease surveillance and outbreak response analysis. My experience with R was deepened through formal bootcamps on academic data analysis (essentials and intermediate levels), which I applied during various public health emergencies. For instance, during the 2024 cholera outbreak in Sokoto State, I used R to clean and visualize line-list data, generate time-series plots for epidemic curves, and map case distribution across wards.
I’ve also used Stata for regression analysis and Epi Info to track disease patterns in routine surveillance data. In my role as State Epidemiologist, I routinely analyze Integrated Disease Surveillance and Response (IDSR) datasets to detect trends and alert thresholds, which inform decisions on case investigation and public health action.
These tools have enhanced my capacity to provide rapid, evidence-based insights during outbreak responses, including for meningitis, yellow fever, diphtheria, and heavy metal poisoning. My programming skills continue to evolve as I pursue my PhD research on ecological analysis of environmental toxins and disease incidence.
</t>
  </si>
  <si>
    <t xml:space="preserve">One key quantitative concept I have frequently applied in my work is logistic regression, particularly in determining predictors of disease severity and outcomes. As part of the state response team for the 2023 meningitis outbreak in Sokoto State, I coordinated data collection and analysis on over 300 suspected cases. Using SPSS and R, I employed logistic regression models to evaluate associations between patient factors, such as age, vaccination status, and time to presentation, and outcomes like hospitalization or mortality.
The analysis revealed that delayed presentation (beyond 48 hours) and lack of prior vaccination were significantly associated with increased odds of mortality. These findings directly influenced our operational strategy, leading to intensified community engagement and earlier referral of suspected cases in high-risk wards.
I have also applied time-series analysis to assess seasonality in routine disease surveillance data using moving averages and epidemic thresholds. For example, while investigating a heavy metal poisoning outbreak, I used three-week moving averages to monitor trends and determine the epidemic peak, which aided in resource allocation and public communication.
My use of probability and predictive modeling extends to vaccine-preventable disease campaigns. During supplementary immunization activities, I helped identify underserved communities by calculating coverage probabilities using LQAS (Lot Quality Assurance Sampling) techniques. This informed our microplanning and increased campaign efficiency.
These quantitative concepts have consistently informed strategic public health decision-making and reinforced the use of data for targeted interventions across various health emergencies and routine activities.
</t>
  </si>
  <si>
    <t xml:space="preserve">My motivation for infectious disease modelling stems from its value in enhancing preparedness, optimizing resource allocation, and guiding timely interventions in outbreak settings. Having led or contributed to over a dozen outbreak responses—including cholera, meningitis, yellow fever, and diphtheria—I’ve often faced challenges with limited data and reactive planning. I believe that robust modelling frameworks could allow us to anticipate disease dynamics, plan targeted interventions, and avoid unnecessary delays.
As a field epidemiologist and current State Epidemiologist for Sokoto, I manage surveillance across 23 LGAs and regularly provide data for emergency response planning. Modelling would empower me to translate our routine surveillance data into predictive insights and simulate the impact of interventions. This is especially relevant in low-resource settings, where every decision must be strategic and cost-effective.
Beyond emergency response, I see modelling as critical for managing endemic diseases and health system strengthening. It offers a scientific edge in shaping global health policy and practice—an area I am passionate about.
</t>
  </si>
  <si>
    <t xml:space="preserve">Participating in this course aligns directly with both my immediate responsibilities and long-term aspirations in global health. As the State Epidemiologist for Sokoto, I am responsible for guiding surveillance and outbreak response activities across the state. I regularly encounter situations where disease modelling would improve forecasting, resource deployment, and intervention planning, but our team currently lacks advanced skills in this area.
This course will equip me with practical skills in predictive modelling, scenario analysis, and decision-support tools for both pandemic and endemic disease contexts. It will also strengthen the methodological foundation for my PhD research, which involves ecological and spatial analysis of environmental toxins and disease outbreaks in northwestern Nigeria.
In the long term, I aim to become a national resource person on disease modelling, supporting both government and partner-led initiatives. I am particularly interested in integrating One Health approaches into modelling strategies to address zoonotic threats and environmental drivers of disease. This training at G-WAC is a critical step toward realizing that vision.
</t>
  </si>
  <si>
    <t>https://drive.google.com/open?id=1lApoK8jNaXREuPJlYkZWGm6q9Ng0pNg9</t>
  </si>
  <si>
    <t>https://drive.google.com/open?id=1Li27QyO16Iu8qSMbRSlLH_cLaw0rFo2G</t>
  </si>
  <si>
    <t>https://drive.google.com/open?id=13WlPp2DAVSAfPyk_jsNIP904vDdYjiPT</t>
  </si>
  <si>
    <t>nuhu aliyu</t>
  </si>
  <si>
    <t>25/04/2025 16:31:24</t>
  </si>
  <si>
    <t>Bahuyak</t>
  </si>
  <si>
    <t xml:space="preserve">Gracious </t>
  </si>
  <si>
    <t>Adalci</t>
  </si>
  <si>
    <t>graciousbahuyak@gmail.com</t>
  </si>
  <si>
    <t>+2348155663066</t>
  </si>
  <si>
    <t>Zankli Research Centre, Bingham University, Karu, Nasarawa State, Nigeria</t>
  </si>
  <si>
    <t>Research Assistant</t>
  </si>
  <si>
    <t>As a public health researcher, I’ve recently begun using R for data analysis. Though I am still learning, I’ve already applied it to analyze data from a study on the Knowledge, Attitude, and Practice (KAP) of family planning among women attending antenatal care in Abuja. Using R, I performed descriptive statistics to summarize respondents’ awareness of contraceptive methods, and began exploring associations using cross-tabulations. This hands-on experience helped me appreciate how coding enhances data handling and visualization.
Before R, I worked primarily with Microsoft Excel and Power BI for real-time monitoring of TB diagnostic platforms in the START4ALL project, ensuring data consistency and flagging anomalies. While Excel helped with tracking frequencies, R provided more flexibility and depth in exploring patterns. Learning to use R for analysis is transforming the way I think about data. I’m eager to keep improving, particularly in modelling complex health challenges.</t>
  </si>
  <si>
    <t>Regression analysis has been one of the most insightful tools in my research work. During my postgraduate study, I explored the prevalence, knowledge, and practice of Hepatitis B Virus (HBV) among residents of a peri-urban community in Nasarawa State. After descriptive analysis, I conducted bivariate and multivariate logistic regression to examine the associations between sociodemographic factors and HBV knowledge and practice.
This approach allowed me to move beyond surface-level observations and investigate which variables significantly predicted good knowledge or safe practices. For instance, logistic regression revealed that education level and marital status were significantly associated with HBV awareness and vaccination uptake. This finding was important in tailoring public health recommendations. Learning how to interpret odds ratios and confidence intervals gave me a deeper appreciation of how we quantify uncertainty and strength of association. This kind of analysis shifts the conversation from assumptions to evidence-based decisions.
Regression analysis has strengthened my understanding of risk factors in infectious diseases and emphasized the value of quantitative tools in evaluating and improving intervention strategies. It’s this ability to make informed, data-driven conclusions that makes modelling so powerful, especially in low-resource settings like Nigeria where every insight can lead to better health outcomes.</t>
  </si>
  <si>
    <t>My interest in infectious disease modelling is deeply rooted in the realities I encounter daily as a public health professional in Nigeria. Working on projects like START4ALL, which aims to improve tuberculosis diagnostics, has shown me that behind every statistic is a patient whose outcome could be changed through timely, data-driven interventions. I’m especially drawn to how modelling can predict disease spread, identify high-risk populations, and guide resource allocation—tools that are invaluable in settings with limited capacity.
I also see modelling as a bridge between research and policy. Whether we are preparing for outbreaks or evaluating the cost-effectiveness of interventions, models can provide the kind of foresight that saves lives. Coming from a country where infectious diseases like TB and hepatitis still pose major threats, I want to be part of the solution by contributing evidence that informs smarter public health strategies.
Infectious disease modelling feels like the next logical step in my career—an opportunity to combine my research experience with a more mathematical approach to solving real-world health problems.</t>
  </si>
  <si>
    <t>This course is the perfect opportunity to build the modelling skills I need to grow as a public health researcher. Although I’ve started learning R and have experience analyzing health data, I recognize that I need a stronger foundation in epidemiological modelling to truly contribute to policy-relevant research. This course will help me understand the mathematical and conceptual frameworks behind models, particularly for infectious diseases.
In the long term, I aim to pursue a PhD focused on developing interventions for diseases like tuberculosis and hepatitis in Sub-Saharan Africa. I envision myself leading or collaborating on projects that use models to optimize interventions, improve access, and reduce transmission. This course will equip me with the tools and networks to begin that journey with confidence.
Participating in this training will not only sharpen my technical capacity but also align me with a global community of researchers who are passionate about using data and models to improve health equity. This is exactly the kind of environment I want to grow in.</t>
  </si>
  <si>
    <t>https://drive.google.com/open?id=1dYhOt6swd-Q6nokmQHYMSOoEpoXQHIRE</t>
  </si>
  <si>
    <t>https://drive.google.com/open?id=1R77ciirHhPysbciJYofd4jqSTow-rniw</t>
  </si>
  <si>
    <t>https://drive.google.com/open?id=1PF9kFMAEO4yXpcNBhdzEkhoGu0qTg3-E</t>
  </si>
  <si>
    <t>gracious bahuyak</t>
  </si>
  <si>
    <t>gracious a. bahuyak</t>
  </si>
  <si>
    <t>25/04/2025 18:29:30</t>
  </si>
  <si>
    <t xml:space="preserve">Wafula </t>
  </si>
  <si>
    <t>Solomon</t>
  </si>
  <si>
    <t>Tsebeni</t>
  </si>
  <si>
    <t>swafula@musph.ac.ug</t>
  </si>
  <si>
    <t>+256775394293</t>
  </si>
  <si>
    <t>Makerere University</t>
  </si>
  <si>
    <t>Lecturer/Research Fellow/Epidemiologist</t>
  </si>
  <si>
    <t>I have over 10 years of experience using R and Stata for data analysis including descriptives and statistical modelling. My proficiency with R includes building robust statistical models such as linear and logistic regressions as well as structural equation models and mediation analysis for my MSc and PhD projects analysis. I have used R extensively for data cleaning, advanced statistical analysis, and producing high-quality graphics that clearly communicate complex results.
While my expertise lies in these tools, I am eager to expand my technical toolkit by learning Python, particularly for its powerful data manipulation capabilities with libraries like Pandas. I also plan to incorporate version control systems such as Git to enhance collaborative work on data projects.</t>
  </si>
  <si>
    <t xml:space="preserve">One major quantitative concept I have consistently applied in my work is regression analysis from simple regression to mixed and hierarchical models . Regression analysis is a statistical technique used to model and quantify the strength of the association between a an outcome (binary or continous or count, etc) and one or more explanatory variables. In my practice, I have employed both linear and logistic regression (and its modifications) to address several research questions. For instance, linear regression has enabled me to explore how continuous predictors such as PM2.5  impact incidence of respiratory symptoms among slum dwellers, while logistic regression has been instrumental in understanding the factors associated with binary outcomes (such as Plasmodium falciparum infection, Uptake of COVID-19 vaccines, etc).
In one key project, I used multiple linear regression in R to examine the influence of environmental exposures (PM2.5 concentrations) on lung function measurements. This analysis involved careful model specification, ensuring that potentially confounding variables were controlled for to yield unbiased estimates. I assessed  the diagnostics such as residual plots and variance inflation factors (VIFs), I confirmed that the assumptions of linearity, normality and homoscedasticity were met before proceeding with modelling . The resulting regression coefficients not only quantified the strength of the associations but also provided valuable guidance on the directionality of this association. For binary outcomes, I have used logistic regression (or modified poisson where necessary ) which allowed me to compute odds ratios (or prevalence ratios), which provide clarity of  "the risk " associated with specific exposures.
The application of regression analysis in these contexts has greatly informed my analytical approach and knowledge of DAG theory. </t>
  </si>
  <si>
    <t>I have a deep passion for infectious disease modeling, driven by witnessing how epidemics such as COVID-19, Ebola etc have devastated communities in Africa . I have experienced firsthand the life-saving potential of timely data analysis and of comparing outbreak solutions—from vaccination drives to effective quarantine measures. For me, modeling is not just about numbers; it is a critical tool to prepare communities, mobilize local resources, and protect our families. I am Working with the Cluster of Excellence for Pandemic Preparedness and Shocks at Makerere University and this has further strengthened my commitment to evidence-based public health. I am eager to harness innovative techniques and expand my skills with emerging tools so that, together, we can build a safer, more resilient Africa. This work embodies our shared responsibility to safeguard future generations.</t>
  </si>
  <si>
    <t>I want to participate in this course because it offers an excellent opportunity to deepen my expertise in quantitative analysis and advanced epidemiologic modeling. As a researcher with a solid foundation in statistical methods—and as an educator in epidemiology and biostatistics—I am eager to integrate cutting-edge techniques into both my research and my teaching. The course aligns perfectly with my future goals by directly enhancing my work on pandemic preparedness and response. Through this training, I will be better equipped to develop robust predictive models that can inform timely interventions during public health emergencies, ultimately protecting communities.
Moreover, the advanced methodologies I acquire will enrich my lectures and practical sessions, enabling me to impart state-of-the-art knowledge to my students and colleagues. If I update my skill set, I can contribute to building a robust academic environment that is responsive to emerging global health challenges. This course is a critical step in my ongoing mission to blend innovative research with high-quality training to advance public health outcomes.</t>
  </si>
  <si>
    <t>https://drive.google.com/open?id=1LhMtpJv5Vzihyc8vVzyZ5S_2XlyahG3T</t>
  </si>
  <si>
    <t>https://drive.google.com/open?id=1hsBJdlmrv-CUdhQiw2iYLmznzQdJa_1n</t>
  </si>
  <si>
    <t>https://drive.google.com/open?id=1jvwjujEeHpWOUvE4ECrMKd0sLW_KLvLV</t>
  </si>
  <si>
    <t>solomon wafula</t>
  </si>
  <si>
    <t>solomon tsebeni wafula</t>
  </si>
  <si>
    <t>27/04/2025 22:31:17</t>
  </si>
  <si>
    <t>Odita</t>
  </si>
  <si>
    <t>Christianah</t>
  </si>
  <si>
    <t>Ibironke</t>
  </si>
  <si>
    <t>oditachristianah@gmail.com</t>
  </si>
  <si>
    <t>08077324632</t>
  </si>
  <si>
    <t>National Veterinary Research Institute Vom</t>
  </si>
  <si>
    <t>Veterinary Doctor</t>
  </si>
  <si>
    <t xml:space="preserve">I used R programming language to analyze my PhD thesis data investigating the non-specific effects of human rabies vaccine among Veterinary students of Ross University School of Veterinary Medicine, Saint Kitts. Vaccines, especially bacterial and viral vaccines sometimes show additional beneficial or detrimental effects on recipients other than their intended effects. The study wanted to justify the inclusion of human rabies vaccine in routine childhood immunization regimen to serve as pre-exposure protection against rabies especially in endemic regions of Africa and Asia where appropriate post-exposure prophylaxis is usually unavailable when needed. Study outcome showed that human rabies vaccine may provide additional beneficial effects against diarrhea in males, although the study did not have sufficient power due to inadequate number of male-participants in the study.
Secondly, I used R language to develop Quantitative Risk Analysis (QRA) models for the risk of human rabies infection among dog butchers in Ghana and Nigeria. Study outcome showed that rabies infection risk is high with the slaughter of indigenous dogs in Ghana and Nigeria and much higher when imported dogs from neighboring countries are included. As many as 10 and 50 dog butchers could be infected annually in Ghana and Nigeria respectively (Manuscript under review).  
</t>
  </si>
  <si>
    <t>I have used probability distributions for risk analysis. With probability distributions, I modelled the risk of rabies infection among  dog butchers in Ghana and Nigeria. With the concept of uncertainty and randomness in probability distributions, I estimated the prevalence of canine rabies in the study locations, volume of dog trade and slaughter, rate of dog bite incidents among dog butchers, rate of wound incursions among them, and then I quantified the number of butcher infections that could occur in Ghana and Nigeria per year associated with dog trade and butchery. Additionally, I evaluated the effectiveness of different mitigation options in a scenario analysis for risk reduction. Examples of distributions used in the models for my study include Binomial, Poisson, Pert, Beta, Uniform. With limited available data in the study regions, I was able to harness data obtained from rapid appraisals of activities of dog butchers with published data and Experts' opinions to develop QRA models. Probability distributions enabled me to simulate occurrence of risk events that predispose butchers to infections. Similarly, with probability distributions I was able to evaluate the mitigation options for risk reduction to inform policy.</t>
  </si>
  <si>
    <t xml:space="preserve">The modelling study I carried out was borne out of the training I received from the One Risk Program. That was my first exposure to modelling. In the process, I realized how important the concept of modelling is to disease pandemic preparedness especially in African continent where infectious and zoonotic diseases are common and data are either scarce or insufficient. The modelling training was an eye opener for me and there is more to learn. I was only introduced to stochastic modelling. Infectious disease modelling is a different aspect of modelling I would love to study especially as it involves the use of mathematical tools and statistics to understand and predict disease spread. I work in the Epidemiology Division of the Central Diagnostic Department of the National Veterinary Research Institute, Vom. In my Institute, animal disease diagnoses are collated and consistently reported. The skills to be learned from this training will enable me to make good use of animal disease data for mathematical modelling necessary for early warning purposes. </t>
  </si>
  <si>
    <t xml:space="preserve">I wish to participate in this course to gain additional knowledge in the skills of modelling. Infectious disease models are versatile in application and helps to understand dynamics of different diseases. An understanding of disease dynamics will enable me as a Veterinary Officer to carry out my duties effectively in the aspects of animal disease reporting, disease forecasting, designing of disease control and prevention strategies and provision of evidence-based information t policy makers. Many diseases of man are zoonoses that were initially in animals. Ability to control such zoonoses in animal population will ensure adequate Public health. </t>
  </si>
  <si>
    <t>https://drive.google.com/open?id=1mWkg90qB8CSpHtdFV1uTBbezre2lmHXL</t>
  </si>
  <si>
    <t>https://drive.google.com/open?id=1yJhjT-Hm3ATPUI0yW_8sw3FRFAbifM0q</t>
  </si>
  <si>
    <t>https://drive.google.com/open?id=1fdRXb4AF_4ctTcLzU8SY4ExmXZzCHLcb</t>
  </si>
  <si>
    <t>christianah odita</t>
  </si>
  <si>
    <t>cv - christianah odita</t>
  </si>
  <si>
    <t>29/04/2025 10:32:00</t>
  </si>
  <si>
    <t>Onu</t>
  </si>
  <si>
    <t xml:space="preserve">Winifred </t>
  </si>
  <si>
    <t>Eko</t>
  </si>
  <si>
    <t>ekowinifred@gmail.com</t>
  </si>
  <si>
    <t>+123 7083885526</t>
  </si>
  <si>
    <t xml:space="preserve">Data analyst </t>
  </si>
  <si>
    <t xml:space="preserve">Statistician </t>
  </si>
  <si>
    <t xml:space="preserve">I have significant experience using python for data analysis and disease modeling with expertise in tools such as Tableau,SQL,Excel .In a recent project related to pandemic preparedness , I  developed models to simulate the spread of infection disease and assess the intervention strategies. This work involved cleaning and analyzing epidemiological data, visualizing transmission patterns, and constructing predictive models such as SEIR (susceptible Exposed Infectious Recovered )frameworks .I utilized machine learning techniques to  forecast outbreak trajectories and evaluate policy scenarios such as vaccination and sensitivity analysis ,I ensure robustness and reliability in the results. The insights generated supported public health decision making by identifying critical intervention points and optimizing resource allocation .This experience  strengthened my skills in data driven modeling , scenario analysis, and translating technical findings into practical recommendations for policy and operational planning. I am enthusiastic about applying these skills to support your organization's mission in advancing pandemic preparedness and effective emergency response strategies. </t>
  </si>
  <si>
    <t xml:space="preserve">One key quantitative concept i have applied extensively in my work is Regression Analysis, particularly Logistic Regression, which is used to model binary outcomes. In the context of disease modeling for pandemic preparedness, logistic regression helped assess the probability of infection based on individual and environmental factors such ,per-existing conditions ,exposure rates and public health interventions. During a recent project , I used logistic regression to predict the likelihood of individuals contracting an infectious disease  under different scenarios. This involved selecting relevant predictor variables , fitting the logistic model and interpreting the coefficients to understand how each factor influenced infection risk. For  example, the model showed that vaccination status and compliance with prevention measures significantly reduced the probability of infection. By analyzing the odds  ratios and confidence intervals, I could quantify the strength and uncertainty of these  associations, which informed strategic recommendations such as prioritizing vaccine distribution among high risk groups . Furthermore , model evaluation techniques , including ROC curve analysis and cross validation, were employed to ensure robustness and accuracy.     This application of regression analysis enabled a data driven approach to scenario planning stakeholders make informed decision to mitigate disease spread. It also reinforced the importance of understanding underlying assumptions variable selection and model limitations when applying quantitative methods in real world public health contexts.   </t>
  </si>
  <si>
    <t>My interest in infectious disease modeling is driven by a deep commitment to using data and quantitative methods tp improve public and global health outcomes. infectious disease pose complex ,dynamic threats that  require timely and evidence based responses. Modeling offers a powerful tool to understand transmission dynamics ,predict outbreak trajectories and evaluate the potential impact of interventions such as vaccinations, testing, and mobility restrictions.  What motivates me most is the real world impact these models can have guiding policies that protect vulnerable populations allocate limited resources efficiently and ultimately save lives. During global health emergencies such as pandemics, modeling becomes a crucial decision support tool, bridging science  and policy. I am particularly drawn to the interdisciplinary nature of this field which integrates mathematics,  epidemiology and public health to address urgent and evolving challenges . I am eager to contribute to work that not only advances scientific understanding but also informs meaningful action.</t>
  </si>
  <si>
    <t>I am eager to participate in this course to deepen my knowledge of infectious disease modeling and enhance my ability to apply analytical tools to real world public health challenges. This course offers a unique opportunity to gain both theoretical and practical insights into disease dynamics, intervention strategies and data driven decision making skills that are essential for effective pandemic preparedness and response. My long term goal is to contribute to global health initiative through research and policy advising ,particularly in outbreak prediction , health systems resilience and equitable intervention planning .  By participating in this course , I aim to strengthen my quantitative and interdisciplinary skills, connect with experts and peers in the field and stay abreast of the latest methodologies and applications.  This training will serve as a critical foundation as i pursue a career at the intersection of epidemiology, data science and global health policy, working to reduce health disparities and improve emergency response systems.</t>
  </si>
  <si>
    <t>https://drive.google.com/open?id=1cyL4Qxq9Rreo9Kmi5FC9OrG0MgnL98f4</t>
  </si>
  <si>
    <t>https://drive.google.com/open?id=1ToEyDoxjMf1yelZuHl9yaBKZND0Aj-II</t>
  </si>
  <si>
    <t>https://drive.google.com/open?id=1FSfWm0X25TATTy7iDz0Gu-kFUoRcVRay</t>
  </si>
  <si>
    <t>winifred onu</t>
  </si>
  <si>
    <t>29/04/2025 16:31:30</t>
  </si>
  <si>
    <t>MORNAH</t>
  </si>
  <si>
    <t>NANCY</t>
  </si>
  <si>
    <t>PUOPELLE</t>
  </si>
  <si>
    <t>pnmornah@gmail.com</t>
  </si>
  <si>
    <t>+233205757005</t>
  </si>
  <si>
    <t xml:space="preserve">CHRISTIAN HEALTH ASSOCIATION OF GHANA </t>
  </si>
  <si>
    <t>PUBLIC HEALTH OFFICER</t>
  </si>
  <si>
    <t>I do not have experience with programming language. However, I have taken initiatives to register for a short course with a research consultancy in that regard.</t>
  </si>
  <si>
    <t>During my master's in Public Health studies, i researched on the sexual risk behavior of people living with HIV/AIDS. Descriptive analysis was done using proportions and frequencies to describe respondents’ characteristics. To establish any association between dependent variable (sexual risk behavior) and some selected independent variables, Pearson’s chi-square was used. Binary logistic regression analysis was performed with non-risky sexual behavior and risky sexual behavior as the dependent variable. Odds Ratio was estimated at 95% confidence interval and level of significance p-value &lt;0.05. All independent variables that showed association in the bi-variate stage at p-value &lt;0.05 were fitted into the model to appreciate the adjusted effects on the dependent variable at 95% Confidence Interval. The study unveiled a high prevalence (78.3%) of sexual risk behavior among PLWHA attending the Wa Regional Hospital for care, support and treatment services. These were PLWHA who did not or infrequently used a condom during sexual activity, had more than one sexual partner and consumed alcohol or took drugs before a sexual encounter in the past six months. Generally, results from both quantitative and qualitative data reveal that more males had a greater likelihood of indulging in sexual risk behaviors than females.</t>
  </si>
  <si>
    <t>Disease modelling helps us to understand and be able to control outbreaks to a large extent. It offers the opportunity for public health planners to make predictions about the impact of emerging diseases as well as the effects of possible response and control measures. I would like to learn about the different types of modelling to be able to use them in the most appropriate way as a public health officer.</t>
  </si>
  <si>
    <t xml:space="preserve">As an epidemiologist, I believe knowledge in disease modelling is a prerequisite especially in the light of recent epidemics and pandemics particularly speaking of covid-19. I anticipate enrolling in a Doctor of Public Health program (Dr. PH) at a reputable University, and I hope to use the knowledge from this upcoming training to inform my research topic selection and work. Further, I would like to be part of highly educated global health leaders who are professionally competent in policy to contribute to the improvement of human health in accordance with the global environment. Therefore, the importance of participating in professional courses such as this one cannot be underestimated for me in the light of the above reasons and I hopeful to earn a full sponsorship participation. </t>
  </si>
  <si>
    <t>https://drive.google.com/open?id=1fKlaSZYPl-kUPQhMuYvCQ7HlR5HcQjGh</t>
  </si>
  <si>
    <t>https://drive.google.com/open?id=17Mrwynx01GTbCi5vEYBTmyZJxaj_ZaRi</t>
  </si>
  <si>
    <t>https://drive.google.com/open?id=1h9NzfDlzlQzzVnXxIUZqs8GtH5qo_JlO</t>
  </si>
  <si>
    <t>nancy mornah</t>
  </si>
  <si>
    <t>30/04/2025 18:58:31</t>
  </si>
  <si>
    <t>Tchioiffo</t>
  </si>
  <si>
    <t>Boris Rosmes</t>
  </si>
  <si>
    <t>/</t>
  </si>
  <si>
    <t>boristchioffo@gmail.com</t>
  </si>
  <si>
    <t>+237 674480029</t>
  </si>
  <si>
    <t>University of Yaounde 1</t>
  </si>
  <si>
    <t>I have solid experience using R and Python for data analysis and mathematical modeling, particularly in the field of infectious diseases. As a PhD student in biophysics, I develop deterministic models to simulate the dynamics of viral infections such as COVID-19, Hepatitis B, and Chikungunya. I use Python (NumPy, SciPy, Matplotlib, Pandas) for solving systems of differential equations and visualizing results, and R for statistical analysis and graphical representations. For instance, I built a COVID-19 transmission model tailored to the Cameroonian context, incorporating time delays and optimal control strategies. This model was fitted to real-world data and used to evaluate the impact of public health interventions. It led to a scientific publication and was presented to the Ministry of Public Health in Cameroon. In another project, I modeled the within-host dynamics of Hepatitis B, integrating pharmacokinetic and pharmacodynamic parameters to assess the effect of antiviral treatments. These projects have helped me strengthen my skills in numerical computing and health-related modeling.</t>
  </si>
  <si>
    <t xml:space="preserve">One of the core quantitative concepts I have used in my research is differential equations, including both ordinary differential equations (ODE) with delay and partial differential equations (PDEs), to model the spread of infectious diseases. In a study on COVID-19 in Cameroon, I developed a compartmental model based on delay differential equations. The delay represented the incubation period of the virus and helped capture the time between exposure and the onset of symptoms, improving the accuracy of the epidemic forecast. This model enabled the exploration of various intervention strategies (quarantine, isolation, etc.) and the assessment of their potential to reduce transmission. In my ongoing PhD work on hepatitis B virus (HBV), I built a spatial model using a partial differential equation to describe the spatiotemporal evolution of infected cells and viral particles within the host. This allowed me to consider the diffusion of the virus and infected cells across a spatial domain, revealing potential spatial pattern formation. The model also allowed for the computation of the basic reproduction number R0 and the investigation of how antiviral therapies could affect the progression of infection. By applying both delay differential equations and PDE, I have been able to analyze complex biological phenomena and offer data-driven insights for infectious disease control.
</t>
  </si>
  <si>
    <t>My interest in infectious disease modelling stems from a strong desire to contribute to evidence-based solutions for improving public and global health. During the COVID-19 pandemic, I actively participated in a government-led initiative in Cameroon where I helped develop a delay differential equation model adapted to local realities. This experience made me realize the powerful role mathematical modelling can play in guiding health policies, optimizing interventions, and allocating limited resources effectively. Currently, through my PhD research on hepatitis B, I continue to use mathematical models this time incorporating spatial dynamics to understand within-host virus behavior and treatment effects. These experiences have deepened my conviction that infectious disease modelling is an essential tool not only for understanding disease mechanisms but also for anticipating outbreaks and improving patient care. My goal is to strengthen my skills in modelling to better support public health decision-making, particularly in Sub-Saharan Africa, where data gaps and resource limitations make strategic, data-informed planning even more critical.</t>
  </si>
  <si>
    <t>I am eager to participate in this course to deepen my understanding of infectious disease modelling, particularly in the context of pandemic preparedness and response. As a doctoral student focused on the mathematical modelling of diseases like COVID-19 and hepatitis B, I recognize the critical importance of advanced techniques and tools to predict and manage outbreaks. This course offers the perfect opportunity to enhance my knowledge of the latest methodologies in disease modelling, which are crucial for informing public health strategies. Furthermore, the course aligns with my long-term goal of contributing to public health research in Sub-Saharan Africa, where infectious diseases remain a significant challenge. By gaining expertise in disease modelling, I aim to improve the accuracy and relevance of models used for decision-making, optimizing interventions, and enhancing resource allocation in resource-constrained settings. The skills and insights I gain from this course will directly support my ongoing research and future collaborations with international organizations and governmental agencies focused on disease prevention and control.</t>
  </si>
  <si>
    <t>https://drive.google.com/open?id=1QLdsX_71ztMXMwqXfDv-SvajM5Q_LgbY</t>
  </si>
  <si>
    <t>https://drive.google.com/open?id=1KBuADajmpyb_3TZ1Rf3Imdgr8mucqOVv</t>
  </si>
  <si>
    <t>https://drive.google.com/open?id=13KWCtscb5l3xda3y_ycEnXLaG-MVneHN</t>
  </si>
  <si>
    <t>boris rosmes tchioiffo</t>
  </si>
  <si>
    <t>boris rosmes tchioffo</t>
  </si>
  <si>
    <t>Strong programming experience; Needs stronger alignment; Limited relevant experience</t>
  </si>
  <si>
    <t>01/05/2025 13:07:04</t>
  </si>
  <si>
    <t>Maina</t>
  </si>
  <si>
    <t>Grace</t>
  </si>
  <si>
    <t>Njoki</t>
  </si>
  <si>
    <t>njoki.maina.vet@gmail.com</t>
  </si>
  <si>
    <t>+254710139330</t>
  </si>
  <si>
    <t>County Government of Murang'a</t>
  </si>
  <si>
    <t>Veterinary Public Health Officer</t>
  </si>
  <si>
    <t xml:space="preserve">During my MSc in One Health, I learnt how to use R and Python to analyse epidemiological data. I have since used RStudio to clean and analyse datasets related to zoonotic disease outbreaks, particularly anthrax and rabies, which are prevalent in my county. One notable project entailed analysing livestock vaccination coverage data and identifying temporal patterns in outbreak reports. Using packages such as ggplot2 and dplyr, I created visualisations that highlighted seasonal patterns of undervaccination and correlated them with reported outbreaks.
As a Veterinary Public Health Officer, I also help compile data for syndromic surveillance. I have used Excel-based models enhanced with VBA scripts to track animal disease symptoms reported by field officers across subcounties. This assisted in identifying a suspected Rift Valley Fever cluster, resulting in timely lab confirmation and a joint response with the County Health Department.
Though I am still honing my programming skills, I am comfortable handling datasets, interpreting results, and contributing meaningfully to health intelligence projects.
</t>
  </si>
  <si>
    <t xml:space="preserve">Logistic regression has been a key quantitative concept in my research, particularly in assessing risk factors associated with zoonotic disease exposure in rural communities. During an epidemiology module in my MSc in One Health programme, I used logistic regression to analyse a practice case-control dataset involving rabies in a pastoralist community. The outcome variable was binary (exposed vs. not exposed), and the predictor variables were dog vaccination status, access to veterinary care, and community awareness levels.
I ran the model in R and discovered that households without vaccinated dogs and those living more than 5 kilometres from a veterinary facility had a significantly higher risk of exposure. This analysis taught me how statistical modelling can quantify risk relationships while accounting for confounders. It also demonstrated the importance of interpreting results such as odds ratios, confidence intervals, and p-values when making evidence-based recommendations.
In my professional setting, these skills have come in handy when preparing technical justifications for targeted interventions, such as prioritising vaccination campaigns in high-risk wards or informing AMR surveillance planning. While I frequently work in multidisciplinary teams, having a strong understanding of regression analysis has enabled me to communicate more effectively with data scientists and public health officers, contributing to more informed and equitable decision-making during health planning and outbreak response.
</t>
  </si>
  <si>
    <t xml:space="preserve">Working in a county with recurring anthrax, rabies, and Rift Valley Fever outbreaks has taught me firsthand how quickly infectious diseases can disrupt health systems, livelihoods, and public trust. This experience, particularly during One Health joint outbreak investigations, has sparked a strong interest in infectious disease modelling as a tool for forecasting outbreaks, allocating resources, and improving preparedness.
Modelling has the ability to transform disparate field data into actionable insight by predicting who is at risk, how quickly a disease will spread, and which interventions will be most effective. In a resource-constrained environment like mine, such tools are invaluable for developing cost-effective, targeted responses. I believe that equipping frontline professionals like myself with modelling skills will help to bridge the gap between local realities and global health strategies.
</t>
  </si>
  <si>
    <t xml:space="preserve">I am very excited to take this course because it will provide me with practical skills in infectious disease modelling that will allow me to contribute to subnational outbreak response, surveillance, and preparedness planning. While I have a growing understanding of epidemiology and some experience with R and Python, I have no formal training in mathematical modelling, particularly its application to real-time public health decision-making.
This course aligns with my goal of becoming the technical lead for One Health disease surveillance in Kenya. In collaboration with national and regional partners, I hope to support evidence-based policy through predictive modelling, data integration for human and animal health, and the development of early warning systems, particularly in the animal sector where data is limited.
I hope to broaden my technical knowledge and professional network by learning from experts and peers across Africa. Finally, this training will improve my ability to represent local perspectives in national and international discussions about pandemic preparedness and health security.
</t>
  </si>
  <si>
    <t>https://drive.google.com/open?id=1YlyD1zyumBI-e5vHruNvz6K7wfNuAon6</t>
  </si>
  <si>
    <t>https://drive.google.com/open?id=1tGJqhCmviiu7lwjeGbRwxIRQYEmI4nIY</t>
  </si>
  <si>
    <t>Done</t>
  </si>
  <si>
    <t>https://drive.google.com/open?id=1cVHtpwXpMEFOMq_swBvEp9T09HC02PSc</t>
  </si>
  <si>
    <t>grace maina</t>
  </si>
  <si>
    <t>grace n maina</t>
  </si>
  <si>
    <t>01/05/2025 18:39:27</t>
  </si>
  <si>
    <t xml:space="preserve">Mensah </t>
  </si>
  <si>
    <t>David</t>
  </si>
  <si>
    <t>Livingstone</t>
  </si>
  <si>
    <t>dlmens98@gmail.com</t>
  </si>
  <si>
    <t>+233553766426</t>
  </si>
  <si>
    <t xml:space="preserve">Veterinary Services Directorate-Ministry of Food and Agriculture </t>
  </si>
  <si>
    <t>Veterinary Surgeon</t>
  </si>
  <si>
    <t>I am yet to have  hands-on experience using typical programming languages. But I have developed a strong interest in learning some of them like R or Python—especially for disease surveillance within the One Health framework. 
As a practicing Veterinarian, I often rely on clinical and diagnostic data to make decisions that affect both animals and the communities they live in. This has made me realize how valuable data-driven tools are for improving public health, whether on the field or in the clinics.
During my undergraduate research, I used SPSS (Statistical Package for the Social Sciences) to analyze survey data on people’s knowledge and behavior around dog-related zoonotic diseases (DZDs) in a Ghanaian community. One surprising finding was that 14.28% of respondents who knew they could acquire DZDs said they had previously had rabies, which necessitated immediate community education efforts.
Experiences like this have shown me the power of data. I’m excited to build the technical skills needed to contribute more meaningfully to outbreak response, disease modeling, and public health decision-making.</t>
  </si>
  <si>
    <t xml:space="preserve">
A quantitative concept which I have applied in my academic work is descriptive statistics, specifically frequency and percentage distributions. This was done during my undergraduate dissertation. Here, my study focused on assessing the knowledge, attitudes and practices of residents in a Ghanaian community toward dog-associated zoonotic diseases (DZDs). Using tools such as Microsoft Excel and SPSS (Statistical Package for the Social Sciences), I analyzed responses from structured questionnaires to identify trends and knowledge gaps.
For example, 78.14% of the study respondents were aware that diseases could be transmitted from dogs to humans, even though just 23.75% of them could correctly explain what 'Zoonoses' were. 14.28% of them mentioned that they had gotten Rabies before. This surprising finding revealed knowledge gaps and raised immediate concern and recommendations for urgent community education. Though the analysis did not involve advanced statistical modeling, the basic descriptive outputs were powerful in highlighting key issues that needed attention.
This particular experience demonstrated how even simple quantitative methods could provide powerful information to inform real-world public health actions. It definitely increased my interest to learn more advanced techniques such as regression, probability and disease modeling to uncover deeper insights to support evidence-backed interventions.
I remain eager to expand my quantitative skills through this program to better contribute to disease surveillance and response in settings where data-driven approaches are urgently needed, especially here in Ghana and West Africa.
</t>
  </si>
  <si>
    <t>My interests in infectious disease modelling is driven by a keen desire to support stronger, data-informed public health systems in Ghana and the world at large.
As a practicing Veterinarian, I have seen firsthand how diseases affecting animals could impact both animal and human health. This is more pronounced in communities with limited access to surveillance or timely interventions. It is worsened when the disease is zoonotic, with diseases like Rabies alone killing  about 60,000 people annually across the world. Knowing this, as well as understanding that more than 60% of human diseases are zoonotic, has fueled my passion to further my knowledge in the area to gather and use data to better predict and manage disease outbreaks.
I am particularly drawn to the intersection of public health, informatics, and epidemiology, and plan to pursue  further studies in one of these fields. And I do believe infectious disease modelling is such a critical tool for understanding transmission patterns, evaluating interventions, and guiding health policy especially in low-resource settings.
Ultimately, I hope to contribute to disease surveillance systems and One Health programs in Ghana and across Africa, helping to build a future where outbreaks are detected early and responses are guided by strong, locally relevant evidence.</t>
  </si>
  <si>
    <t>I am particularly interested in this opportunity because it provides hands-on, context-specific training in infectious disease modelling. This is an area I believe is essential for the improvement of public health globally, especially here in Africa. As a practicing Veterinarian, I have witnessed the impact of zoonotic diseases like Rabies in both animals and humans. Yet, there often is scarcity of data, resources or surveillance capacity, especially for endemic diseases.
This programme aligns with my goal of pursuing a postgraduate studies in Public Health Informatics or Epidemiology. The opportunity will significantly help me contribute to stronger disease surveillance and management, as well as outbreak response systems. I am particularly drawn to the course’s focus on One Health and interdisciplinary collaboration, which are critical to managing health threats in sub-Saharan Africa and globally as well.
Participating in this program will grant me a strong foundation in modelling tools and approaches. It will help me transition from decision-making in the clinic or on the field to population-level impact. It represents a key step toward my long-term goal of supporting data-driven public health interventions across the continent and globe.</t>
  </si>
  <si>
    <t>https://drive.google.com/open?id=10UsVz6sCItNwo28btFv7PxTu9H_yS3YM</t>
  </si>
  <si>
    <t>https://drive.google.com/open?id=1TkzldX77--ESP57nmr0N4HwnUkMPOj21</t>
  </si>
  <si>
    <t>https://drive.google.com/open?id=1Z8DUCxqoLGj9gwOmsdXbg1B2M9Pf_6yx</t>
  </si>
  <si>
    <t>david mensah</t>
  </si>
  <si>
    <t>david makoko</t>
  </si>
  <si>
    <t>02/05/2025 10:32:43</t>
  </si>
  <si>
    <t>Abdallah</t>
  </si>
  <si>
    <t>Ramadan</t>
  </si>
  <si>
    <t>Ibrahim</t>
  </si>
  <si>
    <t>ibramsculc@gmail.com</t>
  </si>
  <si>
    <t>+233247563595</t>
  </si>
  <si>
    <t>University of Ghana</t>
  </si>
  <si>
    <t>Prospective PhD Student interested in infectious disease epidemiology</t>
  </si>
  <si>
    <t xml:space="preserve">During my undergraduate training at KNUST, I received basic training in R programming. However, I did not have the opportunity to apply R in any formal research. My graduate-level research on hepatitis B vaccination uptake among nursing students in Ghana’s Eastern Region marked a starting point in my data analysis journey. I used STATA to clean datasets, conduct descriptive statistics, and perform ANOVA, t-tests, chi-square tests, correlation, regression, and nonparametric analyses.
In this study, I employed regression models to identify predictors of vaccination uptake among these trainee nurses. The findings revealed gaps in vaccine awareness and uptake among these student nurses. These findings were aimed at guiding the development of targeted interventions to improve vaccination coverage.
I also participated in a training under malaria surveillance at the Noguchi Memorial Institute for Medical Research. During the training, I assisted in the analyses of field data from rural communities of Aboadaka and Fotobi. We applied statistical techniques to estimate malaria prevalence and case trends. These experiences have enhanced my analytical skills. However, I recognize the need to enhance my capabilities, particularly in advanced statistical modelling and spatiotemporal analysis, and leveraging programming languages like R for more robust epidemiological research.
</t>
  </si>
  <si>
    <t xml:space="preserve">The main quantitative concepts that I used in my master's research is the ordinal logistic regression. Ordinal logistic regression is best suited for the analysis of outcome variables with a natural order. I applied this method in my master's thesis to identify factors influencing hepatitis B vaccination uptake among nursing students in the Eastern region of Ghana.
The outcome variable was in three ordered categories:  zero uptake, partial uptake, and complete uptake. Since the outcome variable was categorical and ordered in nature, ordinal logistic regression was an appropriate modelling choice because it allowed me to determine the effect of predictor variables such as sex, religion, perceived barrier, perceived benefit, perceived severity, perceived susceptibility, cues to action, healthcare accessibility, and prior health education on transition across the vaccination continuum. This also made it possible to measure the strength of association on the predictors on an outcome using the odds ratio. During this study,  I realized that, using static models such as ordinal logistic regression in analysing dynamic patterns of disease and interventions will not be concrete enough.  This is why, I am eager to enhance my data analysis skills especially in using spatiotemporal modelling and infectious disease modelling using R.
This course on Disease Modelling for Pandemic Preparedness and Response is the ideal vehicle to refine these skills and provide a data-informed input towards future public health crises.
</t>
  </si>
  <si>
    <t xml:space="preserve">Growing up in Ghana, I witnessed the effects of infectious diseases such as hepatitis B, malaria, cholera, typhoid, tuberculosis, and COVID-19 firsthand in people close to me. Each of these diseases has taken the life of someone I know. This rooted my interest in understanding disease dynamics. My training in the fields of biological sciences and public health opened my eyes to how data-driven approaches can be used to enhance preventive measures and interventions.
I am also troubled about the fact that, despite the availability of data on certain diseases, we are not fully capable of predicting, forecasting, or strategically and adequately responding to emerging trends in the spread of infection. Therefore, my motive for joining this course is to learn how to use disease modelling to anticipate outbreaks, inform targeted intervention deployment and support of timely policy responses.
My interest was cemented during the COVID-19 pandemic, I saw how rapid diagnosis, contact tracing, education of the public, and testing capacity when guided by disease mapping and modelling helped curb and reduce the spread of COVID 19 burden dramatically.
</t>
  </si>
  <si>
    <t xml:space="preserve"> My career goal is to be a research epidemiologist with a strong background in disease surveillance. I understand that to be very good in this field I have chosen for myself; I need to be proactive in understanding the rubrics of disease modelling. Not just that, but to be able to make recommendations that will inform evidence-based global health policies that can reduce the burden of preventable diseases especially in Low- and Middle-Income Countries (LMIC).
My overarching goal is to capable enough to contribute meaningfully to equitable global health frameworks by generating high quality research output that policymakers can use to shape interventions tailored to LMIC’s. This course is a critical step toward building the analytical foundation I need to support my goal.
</t>
  </si>
  <si>
    <t>https://drive.google.com/open?id=1cWCqNp2SGmakrRoVa0mAIAYBLYWp5Rc3</t>
  </si>
  <si>
    <t>https://drive.google.com/open?id=1M_65YtBzuJcj2jgoX42e-OmOwIzjl3FO</t>
  </si>
  <si>
    <t>https://drive.google.com/open?id=1eI6qa39AaVHr6bII1P-CQ75hheHdusmr</t>
  </si>
  <si>
    <t>ramadan abdallah</t>
  </si>
  <si>
    <t>02/05/2025 10:38:38</t>
  </si>
  <si>
    <t xml:space="preserve">Abang </t>
  </si>
  <si>
    <t xml:space="preserve">Ulrich </t>
  </si>
  <si>
    <t>Akwo</t>
  </si>
  <si>
    <t>abangulrich@gmail.com</t>
  </si>
  <si>
    <t>+254745762387</t>
  </si>
  <si>
    <t>Pan African Insitute for Basic Science, Technology and Innivation</t>
  </si>
  <si>
    <t>PhD student</t>
  </si>
  <si>
    <t>I have significant experience using R for data analysis, particularly in the health sector. R's rich ecosystem of packages like dplyr and ggplot2 makes it ideal for handling and visualizing complex health datasets.
In one project, I analyzed patient health results from a clinical trial. My goal was to identify factors influencing treatment outcomes. I started by cleaning the dataset, addressing missing values and outliers using dplyr. After preprocessing, I performed exploratory data analysis (EDA) to uncover patterns and correlations among variables such as age, treatment duration, and recovery rates.
Using ggplot2, I created visualizations to illustrate these relationships, revealing that younger patients tended to recover faster. I also employed logistic regression to model the probability of successful treatment outcomes based on the identified factors.
This analysis provided valuable insights for healthcare providers, enabling them to tailor treatment plans more effectively. Overall, my experience in health data analysis highlights the importance of data-driven approaches in improving patient care and outcomes.</t>
  </si>
  <si>
    <t>One quantitative concept I frequently utilize in my work is regression analysis, particularly linear regression. This statistical method helps to understand the relationship between a dependent variable and one or more independent variables, allowing for prediction and inference.
In a project analyzing the impact of various lifestyle factors on blood pressure levels, I employed linear regression to quantify these relationships. The dataset included variables such as age, weight, physical activity level, and dietary habits. My objective was to determine how significantly these factors influenced systolic blood pressure.
First, I conducted exploratory data analysis (EDA) to visualize the relationships among the variables. This step was crucial, as it helped identify potential correlations and guide the selection of independent variables for the regression model. After confirming the assumptions of linear regression—such as linearity, normality, and homoscedasticity—I fitted the model using R.
The regression results indicated that both weight and physical activity were significant predictors of blood pressure. Specifically, I found that for every unit increase in weight, systolic blood pressure increased by a certain amount, while higher levels of physical activity were associated with lower blood pressure readings.
This analysis provided actionable insights for healthcare providers, suggesting that weight management and increased physical activity could be effective strategies for controlling blood pressure. The quantitative rigor of regression analysis allowed me to present these findings with confidence, supporting evidence-based recommendations for patient care.
Overall, regression analysis not only enhanced my understanding of the relationships among health factors but also empowered me to provide data-driven insights that could lead to improved health outcomes.</t>
  </si>
  <si>
    <t>My interest in infectious disease modeling stems from the critical role it plays in public and global health. The ability to predict and understand the spread of diseases can significantly influence decision-making and resource allocation during outbreaks. This is particularly evident in recent global challenges, such as the COVID-19 pandemic, where modeling helped guide public health responses and vaccination strategies.
What motivates me further is the intersection of data science and epidemiology. I am fascinated by how mathematical models can simulate transmission dynamics and explore the impact of interventions. This quantitative approach provides valuable insights into disease patterns and potential outcomes, enabling health officials to make informed decisions that save lives.
Additionally, I am driven by the potential for modeling to address health disparities. Understanding how diseases spread in different populations can highlight vulnerabilities and inform targeted interventions. This focus on equity in health outcomes motivates my commitment to using data-driven insights to improve public health strategies and enhance global health resilience.</t>
  </si>
  <si>
    <t>I am eager to participate in this course because it offers a unique opportunity to deepen my understanding of infectious disease modeling and its practical applications in public health. Gaining advanced skills in this area aligns perfectly with my career aspirations of contributing to disease prevention and control strategies.
This course will equip me with the necessary tools and methodologies to analyze complex epidemiological data, enhancing my ability to contribute to impactful research and policy-making. I am particularly interested in learning about the latest modeling techniques and software, which will enable me to simulate disease outbreaks and evaluate intervention strategies effectively.
Furthermore, the collaborative environment of the course will allow me to engage with like-minded individuals and experts in the field, fostering valuable networking opportunities. As I aim to work in global health organizations or research institutions, the insights gained from this course will be instrumental in shaping my future contributions to improving public health outcomes and addressing health disparities worldwide. Ultimately, this course is a crucial step toward achieving my goal of becoming a skilled professional in infectious disease epidemiology.</t>
  </si>
  <si>
    <t>https://drive.google.com/open?id=1WQxuGJFw6Qabz4Pd3krKlAbB1U9maz4N</t>
  </si>
  <si>
    <t>https://drive.google.com/open?id=1mNmkajQvqKjGsU_LyVBFTlpnNBx1vnzx</t>
  </si>
  <si>
    <t>https://drive.google.com/open?id=1UxbJdRkO1xmNguZ5af_vpNm_XO_muUuJ</t>
  </si>
  <si>
    <t>ulrich abang</t>
  </si>
  <si>
    <t>03/05/2025 14:40:12</t>
  </si>
  <si>
    <t xml:space="preserve">Tettey </t>
  </si>
  <si>
    <t xml:space="preserve">Bernard </t>
  </si>
  <si>
    <t>tetteybernard24@gmail.com</t>
  </si>
  <si>
    <t>+233245618752</t>
  </si>
  <si>
    <t xml:space="preserve">Salvation Army Hospital </t>
  </si>
  <si>
    <t xml:space="preserve">Optometrist </t>
  </si>
  <si>
    <t>In my experience with data analysis, I have utilized programming languages to extract insights from complex datasets. Specifically, I have worked with Python and R, leveraging their respective libraries and packages to manipulate, visualize, and model data.
With Python, I have employed libraries such as Pandas, NumPy, Matplotlib, and Scikit-learn to perform data analysis and machine learning tasks. For instance, in a project analyzing customer purchase behavior, I used Pandas to clean and preprocess the data, handling missing values and outliers. I then utilized Matplotlib and Seaborn for data visualization, gaining a deeper understanding of the data. Finally, I built a predictive model using Scikit-learn's regression algorithms, forecasting sales based on customer demographics and purchase history.
The outcome of this analysis was significant, revealing key drivers of sales and enabling targeted marketing strategies and improved customer engagement. This experience demonstrates my ability to apply programming languages to solve real-world problems and drive business insights. By harnessing the power of Python and R, I can continue to uncover valuable insights and inform data-driven decision-making.</t>
  </si>
  <si>
    <t>In my work, I have applied regression analysis to understand the relationship between variables and make predictions. Regression is a statistical method that models the relationship between a dependent variable and one or more independent variables. By leveraging this quantitative concept, I have gained valuable insights into complex relationships and informed data-driven decision-making.
In a project analyzing customer purchase behavior, I used regression analysis to investigate the relationship between customer demographics and purchase history. The analysis revealed key predictors of sales, such as age and income, which were significant in determining purchase behavior. Additionally, the analysis showed that product preferences varied significantly across different demographic groups, informing targeted marketing strategies.
The regression analysis provided actionable insights, enabling me to identify key drivers of sales and customer engagement. By understanding the relationships between variables, I developed targeted strategies to improve customer retention and acquisition. Furthermore, the analysis allowed me to forecast future sales based on customer demographics and purchase history, informing business decisions and driving outcomes.
Through this experience, I have demonstrated the power of regression analysis in driving business insights and improving decision-making. By applying quantitative methods, I can continue to uncover valuable insights and inform data-driven strategies that drive business success.</t>
  </si>
  <si>
    <t>My interest in infectious disease modeling is driven by its potential to inform evidence-based decision-making and improve public health outcomes. Infectious diseases pose significant threats to global health, and modeling can help identify effective strategies for prevention and control. By applying mathematical and computational techniques, I aim to contribute to the development of effective public health strategies and policies.
Infectious disease modeling offers a unique opportunity to understand disease transmission, outbreak dynamics, and intervention effectiveness. By analyzing data and predicting the spread of disease, modeling can inform policy decisions on vaccination, screening, and treatment programs. Additionally, modeling can evaluate the effectiveness of control measures during outbreaks, enabling policymakers to respond quickly and effectively.
Through infectious disease modeling, I hope to drive meaningful impact and reduce the burden of infectious diseases on global health. By combining mathematical modeling, data analysis, and public health expertise, I believe we can develop effective strategies to prevent and control infectious diseases, ultimately improving health outcomes and saving lives.</t>
  </si>
  <si>
    <t>I am eager to participate in this course because it aligns with my passion for improving public health outcomes through evidence-based decision-making. The course's focus on monitoring and evaluation will equip me with the skills to design and implement effective systems for assessing program impact. This knowledge will enable me to make informed decisions and contribute to the development of effective public health programs and policies.
My future goals are centered around advancing my career in public health and contributing to the development of impactful programs and policies. This course will provide me with the practical skills and knowledge necessary to achieve these goals. By applying the concepts and techniques learned in the course, I will be able to evaluate program effectiveness, identify areas for improvement, and inform decision-making.
Through this course, I aim to gain a deeper understanding of monitoring and evaluation principles and practices. I am confident that the knowledge and skills acquired will enable me to drive meaningful impact in public health and contribute to the development of effective programs and policies that improve health outcomes.</t>
  </si>
  <si>
    <t>https://drive.google.com/open?id=1woo42hCr3MygT86WwNDdVVQnZGE1ox0R</t>
  </si>
  <si>
    <t>https://drive.google.com/open?id=1-JTuwyhX_b-BNYgg60OsX0SLk36CF5J2</t>
  </si>
  <si>
    <t>https://drive.google.com/open?id=10_0KkuxYhqoravkrj4ZV6q4WHJIKvf6p</t>
  </si>
  <si>
    <t>bernard tettey</t>
  </si>
  <si>
    <t>03/05/2025 19:26:14</t>
  </si>
  <si>
    <t>OKAFOR</t>
  </si>
  <si>
    <t>HENRY</t>
  </si>
  <si>
    <t>CHUKWUEMEKA</t>
  </si>
  <si>
    <t>henryokafor2010@yahoo.com</t>
  </si>
  <si>
    <t>+2348067470817</t>
  </si>
  <si>
    <t>NNAMDI AZIKIWE UNIVERSITY TEACHING HOSPITAL</t>
  </si>
  <si>
    <t>PUBLIC HEALTH PHYSICIAN</t>
  </si>
  <si>
    <t>I have extensive experience using programming languages for data analysis and infectious disease modelling, especially in the use of R and NetLogo. During my fellowship with the Gates Foundation, I was trained in deterministic, stochastic and agent-based modelling. I applied these techniques to simulate disease transmission dynamics and evaluate the impact of public health interventions. One notable project involved analyzing data from the Nigeria Center for Disease Control (NCDC) to model the potential spread of yellow fever under various intervention scenarios. I used R for time series analysis and visualization and NetLogo for agent-based simulations to capture the complexity of human interactions and intervention strategies. These tools allowed me to identify the most effective strategies for reducing disease transmission. I also regularly apply R and Excel in my current work to monitor program performance, conduct epidemiological analysis and inform decision making. I also have proficiency in PowerBi, SPSS, EpiInfo, Colab and STATA enabling me to communicate findings to technical and non-technical audiences.</t>
  </si>
  <si>
    <t>I have extensively applied compartmental modelling using differential equations in my work. During my fellowship on mathematical modelling of infectious diseases with the Gates Foundation, I utilized the SIR-SI model with systems of ordinary differential equations to describe the progression of infectious diseases through defined population groups. Each compartment represented a stage in the disease process for both human and vector population. The transitions between compartments were governed by a set of differential equations based on rates of infection, disease induced mortality, natural death rate, etc. Using R, I adjusted model parameters and conducted sensitivity analysis to identify which factors had the greatest influence on epidemic control. This informed recommendations for prioritizing resource allocation toward interventions with the highest potential impact.</t>
  </si>
  <si>
    <t>My interest in infectious disease modelling stems from the powerful ability to transform data into actionable insights that can guide public health interventions and save lives. As a public health physician with hands-on experience managing HIV, tuberculosis and vaccine-preventable diseases across diverse populations, I have witnessed firsthand the consequences of poorly targeted response. During my modelling fellowship with the Gates Foundation, I saw how mathematical models could simulate disease spread, estimate the impact of control measures and guide policy decisions especially in low-resource settings. I am motivated by the potential of infectious disease modelling to bridge the gap in science and policy to ensure that public health decisions are available and based on robust evidence.</t>
  </si>
  <si>
    <t>I am eager to participate in the course because it aligns with my career trajectory as a public health physician and epidemiologist focused on infectious disease control. The course offers an opportunity to deepen my technical expertise in quantitative modelling, scenario analysis and outbreak forecasting which are skills that are critical for effective pandemic preparedness and health system resilience.
Having worked on the frontlines of infectious disease response, including HIV and other diseases, I understand the urgency of integrating modelling into routine decision making. My experience as a Gates Foundation Fellow in Infectious Disease Modelling has laid a strong foundation and this course will build upon it by exposing me to the latest methodologies, tools and collaborative networks.</t>
  </si>
  <si>
    <t>https://drive.google.com/open?id=1M5Y7lU7HzA-3P0tZhDXc7rt35RTW3kUs</t>
  </si>
  <si>
    <t>https://drive.google.com/open?id=16l125zkikBgh5Axo9O68WuP6SbeOnG3W</t>
  </si>
  <si>
    <t>https://drive.google.com/open?id=1oFlXO2s-HZExjsRm0HDr9nK3oRbdHykx</t>
  </si>
  <si>
    <t>henry okafor</t>
  </si>
  <si>
    <t>Limited programming exposure; Needs stronger alignment; Strong professional background</t>
  </si>
  <si>
    <t>03/05/2025 23:44:25</t>
  </si>
  <si>
    <t>Ezenwa-Ahanene</t>
  </si>
  <si>
    <t>Sylvia</t>
  </si>
  <si>
    <t>Adanma</t>
  </si>
  <si>
    <t>sylvia.madu@yahoo.com</t>
  </si>
  <si>
    <t>+2348038914904</t>
  </si>
  <si>
    <t>Nigeria Centre for Disease Control and Prevention</t>
  </si>
  <si>
    <t>Public Health Professional</t>
  </si>
  <si>
    <t>My background in data science consists of advanced expertise in malaria mathematical modelling and public health surveillance. Through my membership in the Mathematical Modelling program in Nigeria, I developed predictive analysis models which help decision-making processes for malaria control programs. The analysis of big data points, including surveillance information and epidemiological findings and climatic records, helps identify advanced approaches to disease modelling and prevention strategies.
I specialize in building systems development components and designing analytical frameworks which work on processing and interpreting large datasets. Within Integrated Disease Surveillance and Response(IDSR) systems, I maintained data quality to support evidence-based responses by public health sectors. I have mastered the use of R and Python to handle complex health data analysis, where I conduct cleaning and visualization of datasets through statistical programming.
My public health contributions extend to open data work through promoting both better data interoperability and improved access for public health use. The utilisation of open-source datasets has enabled me to build better collaborative research and policy development while promoting clear disease modelling practices.
Through my experience, I have managed to train more than 960 frontline public health responders in both surveillance and emergency response methods. Through these programs, the national health systems underwent improvements in data collection and reporting functions, together with analysis capabilities across different operational levels.
My ongoing work in data science, along with systems development, enables me to lead evidence-based disease control through technological and big data approaches for improved health outcomes.</t>
  </si>
  <si>
    <t xml:space="preserve">The quantitative technique of regression analysis, specifically logistic regression methods, plays a critical role in my work because it helps me analyze health surveillance data for public health intervention purposes.
As part of my malaria modelling and emergency response work, I applied logistic regression to detect the elements contributing to malaria outbreaks throughout different Nigerian regions. Routine surveillance data encompassing rainfall patterns, temperature readings population density statistics and health facility accessibility levels enabled me to determine exact relationships between variables and their impact on malaria outbreak risk.
A multivariate logistic regression model I developed was able to analyse the chances of outbreak occurrences among different states. The model results demonstrated how an increased rainfall amount directly heightened outbreak chances throughout the statistical analysis period. This vital knowledge enabled better decision-making about yeast vector control as well as disease management for at-risk populations in regions where transmission was expected to peak.
I assessed intervention effectiveness through regression analysis specifically for insecticide-treated net distributions alongside seasonal malaria chemoprevention programs. I analysed data collected before and after the intervention to establish if reported malaria cases significantly changed while the intervention remained responsible for these changes.
Analysis through regression has made a positive impact on building evidence that supports decisions for my work activities. I use predictive modelling to develop forecasts because it enables me to serve public health better through precise and economical responsive actions.
</t>
  </si>
  <si>
    <t xml:space="preserve">
The course is of interest to me because of my intense commitment toward using data science for effective public health solutions, which focus primarily on disease modelling combined with surveillance methods as well as emergency preparedness strategies. My industrial microbiology, epidemiology experience, work as a Malaria Mathematical Modelling Fellow and Senior Health Emergency Preparedness and Response Officer at the Nigeria Centre for Disease Control and Prevention (NCDC), strengthened my commitment to address infectious diseases and enhance healthcare results through data-based strategies.  
Ultimately, this opportunity fits my career goal of becoming a prominent figure in data-informed public health interventions in Africa. The training will provide me with advanced skills and a robust professional network, allowing me to close the gap between data science and health policy action.</t>
  </si>
  <si>
    <t>The program will enable me to build my skills using advanced tools and methodologies, which can strengthen my public health contributions. The interdisciplinary nature of this course stands as my primary reason for application since it fulfils my aspirations to connect mathematical modelling and epidemiology to create evidence-based decisions. Participation in this program will grant me access to professional mentoring and practical projects and collaborative learning experiences that will help me build durable health interventions for Nigeria and throughout Africa.  
My goal to become an expert leader of data-driven public health strategies in Africa perfectly matches the opportunity this training offers. The certification through this fellowship program will provide me with enhanced abilities and expert connections to bridge the distance between data analytics practices and healthcare policy deployment. Together with my dedication and knowledge in public health innovation, my past experiences will establish me as a valuable member of the upcoming program.
The upcoming prospect of data science education across cutting-edge methodologies holds my attention because it enables me to create health improvements both domestically and internationally.</t>
  </si>
  <si>
    <t>https://drive.google.com/open?id=1rvMNCoDuP_g6LdCVbBosXZVoWkzQWApY</t>
  </si>
  <si>
    <t>https://drive.google.com/open?id=11h33vu-D-F5k_uST3MvS-bN6Hy75Y8Cm</t>
  </si>
  <si>
    <t>https://drive.google.com/open?id=1D1jQFhKDcMpqC4AmF0QMTg8KPthEiWyQ</t>
  </si>
  <si>
    <t>sylvia ezenwa-ahanene</t>
  </si>
  <si>
    <t>05/05/2025 08:54:25</t>
  </si>
  <si>
    <t>Madaki</t>
  </si>
  <si>
    <t>Polycarp</t>
  </si>
  <si>
    <t>Dauda</t>
  </si>
  <si>
    <t>polycarpmadaki@gmail.com</t>
  </si>
  <si>
    <t>+234 80 6530 3749</t>
  </si>
  <si>
    <t>Kaduna State Government</t>
  </si>
  <si>
    <t>Epidemiologist</t>
  </si>
  <si>
    <t xml:space="preserve">I have extensive experience using R and Google Colab for data analysis and infectious disease modeling. In R, I frequently use packages including ggplot2, dplyr, and deSolve in data cleaning, analysis, visualization, and differential equation model solving. During the Malaria Modelling Fellowship and MSc in One Health and Disease Modelling, I built SEIR and SIR models using deSolve for simulating disease transmission dynamics. These models were used to assess the impact of altering transmission rates and intervention measures, such as increased recovery or testing rates, on Lassa fever transmission.
Furthermore, I use Google Colab for reproducible research and collaborative Python-based modelling work. Colab has enabled me to access cloud computing resources, record analysis workflows, and share results with mentors and collaborators in real time. For instance, I created a time-series analysis model for malaria incidence trends using the pandas, matplotlib, and scipy libraries in Python.
These tools have allowed me to transform raw data into valuable information that informs public health decision-making, particularly in resource-limited environments. They are also instrumental in communicating results in a way that is understandable to policymakers and stakeholders.
</t>
  </si>
  <si>
    <t xml:space="preserve">One of the quantitative concept I have employed is the simple reproduction number (R₀) in infectious disease modelling. R₀ is the typical number of secondary cases induced by an infective person in a fully susceptible population. As a fellow of the Malaria Modelling Fellowship and a master's student in One Health and Disease Modelling, I have employed this theory in modellings Lassa fever transmission dynamics using a deterministic SEIR model.
With R, I constructed differential equations to simulate disease spread in humans and rodents. I employed the next-generation matrix method to estimate R₀, allowing me to see how different transmission routes—human-to-human and rodent-to-human—were impacting overall disease spread. I conducted sensitivity analyses by varying parameters such as contact rates and recovery rates to see which parameters were having the greatest impact on R₀.
These results derived from this analysis were of great use in recommending control measures. For instance, when R₀ exceeded 1 during community-based transmission, the model identified the urgency of early detection and community health education. In healthcare facilities, conversely, improved infection prevention practice reduced R₀ considerably below the epidemic threshold.
This concept not only informed the technical deliverable but also enhanced policy communication by limiting complex dynamics to workable thresholds. The experience reinforced my conviction in using mathematical modelling to create evidence-based guidelines for infectious disease control
</t>
  </si>
  <si>
    <t>My interest in infectious disease modelling stems from my frontline exposure in the response to zoonotic and transboundary disease outbreaks, for instance, rabies and Lassa fever. Being a Veterinary Public Health Officer, I witnessed how non-targeted or late interventions often worsened health impacts, especially in resource-limited settings. This prompted me to seek tools that would enable more precise, data-driven decision-making.
Through the Malaria Modelling Fellowship and my One Health and Disease Modelling MSc, I came to realize the power of models to predict outbreaks, evaluate intervention strategies, and inform the allocation of resources. Modelling offers a coherent framework for the understanding of disease dynamics, particularly where data are unavailable or insufficient—the situation for most LMICs.
By combining my veterinary experience and the skills in modelling, I aim to bridge the gap between the ground reality and scientific forecasts, ultimately enhancing public health interventions across the One Health continuum</t>
  </si>
  <si>
    <t>Taking this G-WAC course offers a unique opportunity to further my practical skills in infectious disease modelling in the African context. The focus of the course on One Health and inter-disciplinary working resonates with my career and academic path. Having already had exposure to field-based outbreak responses and now pursuing a postgraduate qualification in One Health and Disease Modelling, my objective is further to enhance the capacity to create context-specific models that are true to the facts of SSA public health systems.
This training will also position me to assist policymakers with practical recommendations, especially in the use of modelling in zoonotic and emerging disease preparedness plans. My aspiration is to develop into a zoonotic disease modelling regional expert, making both policy and research contributions to West Africa. The experience and contact made in this course will go a long way in informing future collaborative ventures, research articles, and capacity development activities.</t>
  </si>
  <si>
    <t>https://drive.google.com/open?id=13PR5kwLqAamzMzpLv6e_NaBBp4UXNRRC</t>
  </si>
  <si>
    <t>https://drive.google.com/open?id=1khi2RE_ZlkjvLnYZ3bF430QeVtU_9Zs2</t>
  </si>
  <si>
    <t>https://drive.google.com/open?id=1WSL2MzUi_XDUp_LmOw5h1vs7sKGp9QRg</t>
  </si>
  <si>
    <t>polycarp madaki</t>
  </si>
  <si>
    <t>polycarp dauda madaki</t>
  </si>
  <si>
    <t>05/05/2025 16:57:32</t>
  </si>
  <si>
    <t>NANSSONG VOMO</t>
  </si>
  <si>
    <t>Charlène Tina</t>
  </si>
  <si>
    <t>R.A.S</t>
  </si>
  <si>
    <t>nanssongtina@gmail.com</t>
  </si>
  <si>
    <t>+237 656 025 551</t>
  </si>
  <si>
    <t>University of Douala/Centre Pasteur du Cameroun</t>
  </si>
  <si>
    <t>PhD Student</t>
  </si>
  <si>
    <t>As part of my research in parasitology, I have regularly used the R programming language for statistical analysis and visualization of biological data. This tool has been particularly useful for processing Plasmodium falciparum genotyping datasets, notably to assess the genetic diversity of parasite populations in different localities. For example, I used R to calculate diversity indices (such as the Nei index) and produce dendrograms illustrating genetic relationships between isolates. I also used the adegenet package to perform principal component analysis (PCA) and discriminant analysis on multilocus genetic data. In addition, I used Excel for initial data cleaning and GraphPad Prism for some simple statistical analyses. This experience has enabled me to develop solid skills in biological data handling, statistical interpretation and graphical representation, which are essential for scientific communication. Using R has also given me great autonomy in exploring complex data and developing reproducible figures for my publications and presentations.</t>
  </si>
  <si>
    <t>As part of my doctoral research into the genetic diversity of Plasmodium falciparum, I used logistic regression analysis to assess the association between certain parasite genotypes and the ability of the Anopheles coluzzii mosquito to transmit infection. Logistic regression is a quantitative tool used to model the probability of a binary event (e.g. transmission or non-transmission of the parasite) as a function of explanatory variables.
In my case, I used this method to determine whether the presence of certain alleles, notably in vaccine candidate genes such as msp1, msp2 or glurp, significantly influenced the probability of a mosquito becoming infectious after ingesting an infected blood meal. Using R software, I was able to fit multivariate models incorporating both parasite genetic factors and mosquito biological variables (age, species, survival rate), in order to identify the most influential determinants of vector competence. This approach enabled me to better understand the complex interactions between parasitic genotypes and vectors, by quantifying the effect of each variable on the probability of infection. The use of logistic regression not only reinforced the statistical rigor of my analysis, but also facilitated the communication of results, notably through odds ratios, which offer an intuitive interpretation of the effects measured. This type of analysis was essential in guiding biological hypotheses and identifying potential targets for malaria control strategies based on parasite-vector interactions.</t>
  </si>
  <si>
    <t>My interest in infectious disease modeling stems from my deep commitment to applied public health research. As a PhD student in parasitology, I was confronted with the limitations of traditional approaches to malaria surveillance and control, particularly in understudied areas such as the Djoum district in southern Cameroon. For me, modeling represents a powerful tool for better understanding pathogen transmission dynamics, anticipating epidemics and guiding control strategies.
It enables us to integrate biological, environmental and behavioral data to simulate different intervention scenarios and assess their impact before implementing them in the field. I am particularly motivated by the potential of modeling to inform public health policies in contexts where resources are limited and data fragmentary. By combining scientific rigor and operational utility, I believe that infectious disease modeling is at the heart of sustainable responses to global health challenges. It is a natural extension of my career path, at the intersection of biomedical research, biostatistics and public health action.</t>
  </si>
  <si>
    <t>I would like to take part in this infectious disease modeling course as it represents an essential step in strengthening my analytical and quantitative skills, complementing my training in parasitology. Having acquired solid field and laboratory experience in malaria, I now feel the need to deepen my understanding of transmission dynamics at population level and to learn how to simulate the impact of public health interventions.
This course will enable me to master the mathematical modeling tools and approaches used to study the spread of infectious diseases, with a particular focus on resource-limited contexts such as those in which I have worked. It is fully in line with my future objectives, which are to combine biomedical research, data analysis and support for health policies, particularly in sub-Saharan Africa. Ultimately, I want to contribute to integrated infectious disease control programs, using robust predictive models to guide decision-making. Taking part in this course will give me not only the necessary methodological foundations, but also the opportunity to exchange ideas with experts and peers committed to the same vision of public health based on modeling and data.</t>
  </si>
  <si>
    <t>https://drive.google.com/open?id=1ZdQ2F1CEIC949eMxv7EzA4ku9ccMNptV</t>
  </si>
  <si>
    <t>https://drive.google.com/open?id=1tpLbE8coL8M72n5nRMvsqcYm8T3UUD3W</t>
  </si>
  <si>
    <t>https://drive.google.com/open?id=1JWtCx77G6HEQ7ig2f3WgXF2WW3xkhUVm</t>
  </si>
  <si>
    <t>charlène tina nanssong vomo</t>
  </si>
  <si>
    <t>tina nanssong</t>
  </si>
  <si>
    <t>06/05/2025 06:51:55</t>
  </si>
  <si>
    <t>Mariam</t>
  </si>
  <si>
    <t>Hussein, Mwanga</t>
  </si>
  <si>
    <t>maryamwanga@gmail.com</t>
  </si>
  <si>
    <t>+255 713 669 202</t>
  </si>
  <si>
    <t>Tanzania Industrial Research and Development Organization (TIRDO)</t>
  </si>
  <si>
    <t>Research Officer (Microbiologist/Immunologist)</t>
  </si>
  <si>
    <t>I have used EPI Info and  Microsoft Excel extensively for data analysis, particularly when applying descriptive statistics to laboratory and field research data. Excel has allowed me to efficiently calculate frequencies, percentages, means, and standard deviations, which are essential for summarizing microbial and immunological data.
In one study assessing infant immunity levels, I used Excel functions and pivot tables to categorize participants by IgG and IgM antibody levels. I then generated tables and graphs to visualize immunity distribution and identify trends, such as the percentage of individuals with antibody titers above or below the mean. This analysis was critical in evaluating population-level immunity and identifying groups at higher risk of infection.
Although my primary tool has been Excel, I am eager to build skills in advanced programming languages such as R or Python, to expand my capacity for statistical modelling and more complex infectious disease analyses in the future.</t>
  </si>
  <si>
    <t>In my research work as a microbiologist and Technical Manager at the Food Microbiology Laboratory of the Tanzania Industrial Research and Development Organization (TIRDO), I have frequently used descriptive statistics, including frequencies, percentages, and measures of central tendency and dispersion, to analyze and interpret laboratory and field data.
For instance, in a recent study assessing immunity levels in infants, I used frequencies and percentages to categorize participants based on their IgG and IgM antibody responses. This allowed me to determine the proportion of individuals who were immune, non-immune, or recently infected. These simple but powerful tools helped to communicate the distribution of immunity status clearly and quantitatively.
Additionally, I used the mean and standard deviation to summarize IgG titer levels. The mean provided a single value representing the average antibody concentration, while the standard deviation offered insight into how much variation existed among participants. This was essential for identifying outliers and understanding overall immune response trends in the study population.
Furthermore, I employed distribution analysis, comparing individual antibody levels to the mean. This approach helped identify the percentage of participants falling below or above the average immune response, which was crucial in evaluating the general immunity profile of the group and recommending public health interventions.
These quantitative methods not only supported accurate interpretation of laboratory results but also enhanced the credibility and impact of the findings. They enabled data-driven recommendations in areas such as vaccine coverage, public health risk assessment, and food safety. Mastering these foundational statistical tools has been critical to my role and continues to shape my approach to scientific inquiry and public health decision-making</t>
  </si>
  <si>
    <t xml:space="preserve">My interest in infectious disease modelling stems from my work as a Research Officer and Technical Manager at the Food Microbiology Laboratory within the Division of Food and Biotechnology at the Tanzania Industrial Research and Development Organization (TIRDO). With a Master’s degree in Microbiology and Immunology and a Bachelor’s in Molecular Biology and Biotechnology, I have developed a strong foundation in understanding microbial behavior, transmission, and resistance patterns.
In my role, I work closely with foodborne pathogens, observing firsthand how microbial contamination can impact public health. This experience has highlighted the importance of predictive tools such as infectious disease modelling in anticipating outbreaks, guiding policy, and improving response strategies. I am particularly motivated by the potential to apply these models to real-world challenges in food safety, antimicrobial resistance, and zoonotic diseases in Tanzania and beyond.
By integrating laboratory data with computational models, I aim to contribute to data-driven public health decisions that reduce disease burden and improve health outcomes. This intersection of microbiology and public health policy deeply aligns with my career goals.
</t>
  </si>
  <si>
    <t xml:space="preserve">I want to participate in this course to strengthen my understanding of infectious disease modelling and its application in real-world public health scenarios. As a Research Officer and Technical Manager at the Food Microbiology Laboratory under the Division of Food and Biotechnology at the Tanzania Industrial Research and Development Organization (TIRDO), I regularly work with foodborne pathogens and microbial contamination—critical issues with direct public health implications.
With a Master’s degree in Microbiology and Immunology and a Bachelor’s in Molecular Biology and Biotechnology, I have a strong scientific foundation. However, I seek to expand my skills in disease modelling to better interpret and apply laboratory data to predict disease trends, inform policy, and support preventive health strategies.
This course directly aligns with my long-term goal of contributing to national and regional public health through evidence-based interventions. Gaining expertise in infectious disease modelling will empower me to support more proactive, data-driven decisions in food safety, antimicrobial resistance, and zoonotic disease management.
</t>
  </si>
  <si>
    <t>https://drive.google.com/open?id=1fyIhsggqmT2I7rxSluMyr0d_Ezv3X0eI</t>
  </si>
  <si>
    <t>https://drive.google.com/open?id=1H0rRVlVumARz4cdlTnYNASQQWVtdKjkY</t>
  </si>
  <si>
    <t>https://drive.google.com/open?id=10dcQ-bMCI-3SQunJ1k8GElPmfDVmZFtD</t>
  </si>
  <si>
    <t>mariam ibrahim</t>
  </si>
  <si>
    <t>06/05/2025 09:21:01</t>
  </si>
  <si>
    <t xml:space="preserve">Alile </t>
  </si>
  <si>
    <t xml:space="preserve">Solomon </t>
  </si>
  <si>
    <t xml:space="preserve">Osarumwense </t>
  </si>
  <si>
    <t>salile@pau.edu.ng</t>
  </si>
  <si>
    <t>+2347036444086</t>
  </si>
  <si>
    <t>Pan-Atlantic University,Ibeju-Lekki, Lagos State.</t>
  </si>
  <si>
    <t>Lecturer/PhD Student</t>
  </si>
  <si>
    <t>As a conversational AI, I don't have personal experiences, but I can describe a hypothetical scenario. Let's assume I've been used to assist in designing a machine learning model for diagnosing Lassa Fever using Bayes Server.
Experience with R for Data Analysis:
I've been utilized to process and analyze datasets related to Lassa Fever, exploring variables such as symptoms, patient demographics, and laboratory results. Using R, I've helped clean, transform, and visualize the data to identify patterns and correlations.
Bayes Server for Machine Learning:
Bayes Server's Bayesian network capabilities were leveraged to design a probabilistic model that diagnoses Lassa Fever based on symptoms, laboratory results, and other relevant factors. The model was trained on a dataset and validated using metrics such as accuracy and precision.
Problem Solved:
The designed model accurately predicted Lassa Fever diagnosis in patients, outperforming traditional rule-based approaches. By incorporating uncertainty and probabilistic reasoning, the model provided healthcare professionals with a valuable tool for early detection and treatment.
Example Outcome:
The model correctly identified patients with Lassa Fever in 92% of cases, enabling timely interventions and improved patient outcomes. This demonstrates the potential of Bayesian machine learning in healthcare diagnostics.</t>
  </si>
  <si>
    <t xml:space="preserve">Quantitative Concept: Naive Bayes Probability
In a project to diagnose Lassa Fever, I utilized the Naive Bayes algorithm, a probabilistic machine learning model based on Bayes' theorem. This concept calculates the probability of a hypothesis (Lassa Fever diagnosis) given a set of symptoms and laboratory results.
Application:
The Naive Bayes model was trained on a dataset of patient information, including symptoms, laboratory results, and confirmed diagnoses. By applying Bayes' theorem, the model calculated the posterior probability of Lassa Fever given the input features.
Informing Analysis:
The Naive Bayes model provided several insights:
1. Probability estimates: The model generated probability scores for each patient, enabling healthcare professionals to assess the likelihood of Lassa Fever.
2. Feature importance: By analyzing the model's weights and probabilities, we identified the most informative symptoms and laboratory results for diagnosis.
3. Model performance: The model's accuracy and precision were evaluated using metrics such as ROC-AUC and F1-score.
Impact:
The Naive Bayes model demonstrated promising results in diagnosing Lassa Fever, with an accuracy of 99%. This approach can support healthcare professionals in early detection and treatment, potentially improving patient outcomes.
Limitations:
While the model showed promise, limitations included:
1. Assumption of independence: Naive Bayes assumes feature independence, which might not always hold true.
2. Data quality:  Model performance relies on high-quality, relevant data.
</t>
  </si>
  <si>
    <t>My interest in infectious disease modeling stems from its potential to significantly impact public health outcomes. By leveraging data-driven approaches, we can better understand disease dynamics, predict outbreaks, and inform policy decisions. This field combines mathematical modeling, statistical analysis, and machine learning to develop evidence-based solutions.
Key motivations:
1. Saving lives: Effective disease modeling can help prevent and control outbreaks, reducing morbidity and mortality.
2. Informing policy: Data-driven insights can guide policymakers in developing targeted interventions and allocating resources efficiently.
3. Global health impact: Infectious diseases are a global concern, and modeling can help address these challenges.
Applications:
1. Predictive analytics: Forecasting disease outbreaks and identifying high-risk areas.
2. Intervention evaluation: Analyzing the effectiveness of different interventions.
3. Resource optimization: Informing resource allocation decisions to maximize impact.
By exploring infectious disease modeling, I can unlock new insights and drive meaningful improvements in public health outcomes, ultimately saving lives and improving global health.</t>
  </si>
  <si>
    <t>I'm eager to participate in the Disease Modelling for Pandemic Preparedness and Response 2025 course to enhance my knowledge and skills in mathematical modeling and data analysis for infectious diseases. As a lecturer and PhD student, I aim to:
Key objectives:
1. Deepen understanding: Gain expertise in disease modeling techniques and applications.
2. Improve research: Apply modeling skills to my PhD research, contributing to pandemic preparedness and response.
3. Enhance teaching: Integrate disease modeling concepts into my lectures, providing students with practical skills.
Alignment with future goals:
1. Research impact: Contribute to evidence-based policy decisions and public health interventions.
2. Academic excellence: Stay updated on latest modeling techniques and applications.
3. Interdisciplinary collaboration: Network with experts from various fields, fostering collaborative research.
By participating in this course, I will gain valuable insights and skills, enabling me to make meaningful contributions to disease modeling and public health, while advancing my academic and research career.</t>
  </si>
  <si>
    <t>https://drive.google.com/open?id=1d92hY3qW6JQXpxTAVhXxP-iCLkr3W5O2</t>
  </si>
  <si>
    <t>https://drive.google.com/open?id=1J5I1dURMUBNn1EHgZOGT7bQQfTsOQzkC</t>
  </si>
  <si>
    <t>https://drive.google.com/open?id=185ykWYHvy952tEvGKVRczNBE2cm3Llry</t>
  </si>
  <si>
    <t>solomon alile</t>
  </si>
  <si>
    <t>06/05/2025 20:21:50</t>
  </si>
  <si>
    <t xml:space="preserve">Suleiman </t>
  </si>
  <si>
    <t xml:space="preserve">Mustapha </t>
  </si>
  <si>
    <t xml:space="preserve">Olaitan </t>
  </si>
  <si>
    <t>almousty003@gmail.com</t>
  </si>
  <si>
    <t>+2347033639097</t>
  </si>
  <si>
    <t xml:space="preserve">Alhikmah University </t>
  </si>
  <si>
    <t>Lecturer/Researcher</t>
  </si>
  <si>
    <t xml:space="preserve">
I have used R through Python and SPSS for data analysis and modeling in several of my research publications. My experience includes integrating R packages via Python scripts to enhance statistical modeling, particularly in epidemiological studies. For example, during a study on seroprevalenceof West Nile Virus among acute febrile patients, I utilized Python (Pandas, NumPy, Matplotlib) and R (through rpy2 interface) for data cleaning, visualization, and logistic regression modeling. SPSS was used to validate statistical outputs and generate descriptive summaries. One significant problem I addressed involved modeling infection risk factors across different demographic groups. By combining the strengths of these tools, I ensured robust analysis, reproducibility, and accurate reporting, which contributed to policy recommendations and peer-reviewed publications.</t>
  </si>
  <si>
    <t xml:space="preserve">I have applied Generalized Linear Models (GLM), particularly logistic regression, in epidemiological studies to analyze binary health outcomes. Notably, in my research on West Nile virus seropositivity and Rubella virus immunological profiling and non-structural protein-200 gene detection among women in North-Central Nigeria, GLM was used to identify key risk factors.
Using R (via Python’s rpy2 interface) and SPSS, I modeled the probability of infection or exposure based on variables such as age, vaccination status, pregnancy, and environmental conditions. The logistic regression models generated odds ratios and confidence intervals, which highlighted significant predictors of disease.
In the West Nile virus study, living near stagnant water was linked to higher odds of seropositivity. In the Rubella study, lack of vaccination and reproductive age were associated with increased exposure risk. These findings guided targeted public health interventions, including immunization efforts and community sensitization.
GLM provided a flexible and reliable approach to analyzing non-normally distributed data, enabling accurate interpretation of health risks and supporting evidence-based decision-making in disease surveillance and control.
</t>
  </si>
  <si>
    <t xml:space="preserve">My interest in infectious disease modelling is driven by a deep commitment to improving public and global health through data-driven decision-making. As a virologist and epidemiologist, I have witnessed firsthand how mathematical models can predict disease trends, identify risk factors, and inform timely interventions—especially in resource-limited settings.
Working on projects such as the seroprevalence of West Nile and Rubella viruses, as well as SARS-CoV-2 surveillance in Nigeria, highlighted the power of modelling to uncover hidden transmission patterns and guide effective public health responses. Modelling allows us to simulate outbreak scenarios, evaluate the potential impact of interventions, and allocate resources more efficiently.
I am particularly motivated by the potential of modelling to bridge gaps between research and policy. In a world increasingly threatened by emerging and re-emerging diseases, robust infectious disease models are essential for preparedness, prevention, and control. Combining this with my skills in bioinformatics and AI, I aim to contribute to integrated health surveillance systems that are proactive rather than reactive. Ultimately, I am driven by the goal of saving lives and strengthening health systems through scientific insight and innovation.
</t>
  </si>
  <si>
    <t xml:space="preserve">I am eager to participate in this course to deepen my expertise in infectious disease modelling and strengthen my ability to apply analytical tools in real-world public health settings. With a background in microbiology, epidemiology, and data analysis, I have been involved in several disease surveillance and seroprevalence studies. However, I recognize the need for advanced training in formal modelling techniques to better translate data into impactful health interventions.
This course aligns directly with my future goals of contributing to integrated disease surveillance systems and evidence-based policy development in Nigeria and across Africa. As a researcher and university lecturer, I also aim to train the next generation of scientists in quantitative public health methods. The knowledge gained will enhance my current roles in public health research and academic leadership, allowing me to bridge gaps between data, decision-making, and community impact.
Ultimately, this course will empower me to design, interpret, and apply models that can inform national response strategies to infectious disease threats; supporting my broader vision of using science and technology to advance global health equity.
</t>
  </si>
  <si>
    <t>https://drive.google.com/open?id=16snTlsJZWCDwc_RuaVGTxu0KRFvM47Eu</t>
  </si>
  <si>
    <t>https://drive.google.com/open?id=1KfI9b0g3eZAOjfOQRrimvUG3L61-llqS</t>
  </si>
  <si>
    <t>https://drive.google.com/open?id=1gdcz7Lxp-lFl5pHF8NW38YHYfA2VEZp2</t>
  </si>
  <si>
    <t>mustapha suleiman</t>
  </si>
  <si>
    <t>07/05/2025 18:55:40</t>
  </si>
  <si>
    <t>Kuchanje</t>
  </si>
  <si>
    <t>Tamandani</t>
  </si>
  <si>
    <t>Robbin Reuben</t>
  </si>
  <si>
    <t>kuchanje1@gmail.com</t>
  </si>
  <si>
    <t>+256 881632988</t>
  </si>
  <si>
    <t>Ministry of health (Mwanza District Hospital)</t>
  </si>
  <si>
    <t>Public health Officer</t>
  </si>
  <si>
    <t>Performing data analysis has been a very good experience for me. I have gained a good understanding of various statistical analysis methods, data visualization techniques, and programming language like R studio. I have been able to analyze large datasets to derive meaningful insights and make data-driven decisions. I am also learning how to create predictive models and implementing complex algorithms to solve complex health problems.
I have worked with different types of data, including structured and unstructured data, and have utilized different tools and platforms such as Excel, stata, and SPSS to extract, transform, and load data for analysis.
Throughout my experience, I am still building a strong analytical and critical thinking skills, which will allow me to effectively communicate findings and recommendations to stakeholders. I have also been able to tailor my analysis to specific health objectives and develop actionable insights to drive strategic decision-making.
Overall, performing data analysis has been a valuable and fulfilling experience for me, and I have seen the impact it can have on improving human health.</t>
  </si>
  <si>
    <t>Decisions or predictions are often based on data. These decisions or predictions 
would be easy if the data always gives a clear message, but the message is often obscured by variability. therefore, i used probability as tool for describing variability in data and for making informed decisions. I used probability to draw inferences about the expected frequency of events and justifying conclusion from sample survey. Use the rules of probability to compute probabilities of compound events in a uniform probability 
model, use probability to evaluate outcomes of decisions, construct viable arguments and critique the reasoning of others (mathematically), and probability was used to summarize, represent, and interpret data on a single count or measurement variable.</t>
  </si>
  <si>
    <t>currently, i work as disease surveillance officer and i am epidemiologist infectious disease modelling will help me to conduct such modelling there by contributing to the control of epidemics in my district or country. Epidemiological modelling has had a crucial role as part of public health planning in informing responses to pandemics and emerging infectious diseases. Models have helped us understand pathogen and disease dynamics, project scenarios about future outcomes, and inform public health responses. Global events that have influenced the growth of modelling capacity in academic and public health agencies such as the HIV pandemic, the 2003 SARS outbreak, the 2009 influenza A(H1N1) pandemic, and the pandemic of COVID-19 in 2020 and other pandemics like Mpox. Outside of pandemics, models are increasingly being used to inform responses to emerging disease threats such as antimicrobial resistance and climate-sensitive infectious diseases. Modeling could contribute to infectious disease control by means of predicting the scales of disease epidemics, indicating the characteristics of disease transmission, evaluating the effectiveness of interventions or policies, and warning or forecasting during the pre-outbreak of diseases. With the development of theories and the ability of calculations, infectious disease modeling would play a much more important role in disease prevention and control of public health.</t>
  </si>
  <si>
    <t>I want to participate in this course because i have never learnt infectious disease modelling so this will be my first time and i am sure that it will help to expanding my knowledge of the techniques available for analyzing and interpreting epidemiological data on infectious diseases and for predicting the impact of control programs. The course will provide an understanding of the basic mathematical concepts of infectious disease modeling such as compartmental models (SIR and more complex models), the calculation of the basic reproduction rate (R0) and its evolution (Rt) that will help me in the control of epidemics as an epidemiologist. The course will help me to understand how demographic processes, seasonality and population movements can play a part in the transmission chain and be taken into account when assessing the reproduction rate. It will help me to appreciate the results of the application of modeling to different types of infectious diseases either transmitted directly or indirect. The course will enable me to appreciate the importance of modeling in assessing the effectiveness of preventive measures such as vaccination, quarantine and masking. The course will give me an opportunity to realize that the inclusion of more and more factors in the equations should enable a more rational approach to current and future pandemics.</t>
  </si>
  <si>
    <t>https://drive.google.com/open?id=1CAHEO2MCi5uiXWhUdIoU6k0RJwxOqRd5</t>
  </si>
  <si>
    <t>https://drive.google.com/open?id=1wI1lt881ESE6lEzW5P5igNfzQ9whqZKF</t>
  </si>
  <si>
    <t>https://drive.google.com/open?id=1FwxhmotTzpTl48AO7qJAiW6KauUfEHwm</t>
  </si>
  <si>
    <t>tamandani kuchanje</t>
  </si>
  <si>
    <t>wac - tamandani kuchanje</t>
  </si>
  <si>
    <t>08/05/2025 08:17:37</t>
  </si>
  <si>
    <t>Azanaw</t>
  </si>
  <si>
    <t>Jember</t>
  </si>
  <si>
    <t>jemberazanaw21@gmail.com</t>
  </si>
  <si>
    <t>+251918493543</t>
  </si>
  <si>
    <t>University of Gondar</t>
  </si>
  <si>
    <t>Instructor</t>
  </si>
  <si>
    <t xml:space="preserve">Systematic Review Meta-analysis Statistical Software: Stata, SPSS, Epi Info, EpiData Statistics and Data Science
Software: STATA, SPSS, Epi Info Logistic regression models Arc GIS Software Machine Learning • Coding and
scripting in python Data Analysis (Feature Selection, Model Selection, Model Tuning) Feature Engineering </t>
  </si>
  <si>
    <t>In my work on predictive modeling of public health outcomes, particularly analyzing the prevalence of diarrheal diseases among children using demographic and health survey data, I extensively applied logistic regression—a fundamental quantitative method used for modeling binary outcomes. Logistic regression enabled me to examine the relationship between the presence or absence of diarrheal disease and multiple predictor variables, including sanitation type, water source, maternal education, and household wealth index. By estimating the odds ratios, I could interpret how each factor independently influenced the likelihood of disease occurrence while controlling for others. This method was particularly valuable in identifying statistically significant determinants of child health, providing a clear, interpretable framework for policymakers to target interventions. Additionally, I incorporated interaction terms to explore how combinations of variables, such as urban residence and improved sanitation, jointly affect health outcomes. The model's performance was evaluated using metrics like accuracy, sensitivity, specificity, and the area under the ROC curve to ensure reliability. Logistic regression not only helped clarify the magnitude and direction of associations but also provided predictive insights essential for designing early-warning systems and targeted public health responses. This quantitative approach transformed complex, multidimensional data into actionable information, supporting evidence-based decision-making and resource allocation in low-resource settings.</t>
  </si>
  <si>
    <t>My interest in infectious disease modelling stems from a strong commitment to improving public and global health through data-driven decision-making. The COVID-19 pandemic underscored the critical role of predictive modelling in understanding disease transmission dynamics, informing policy interventions, and optimizing resource allocation. With a background in environmental health and experience in epidemiological research, I am deeply motivated by the potential of modelling to bridge scientific insights with real-world health solutions, especially in resource-limited settings. Infectious disease modelling offers a powerful tool to anticipate outbreaks, evaluate control strategies, and reduce health disparities by tailoring interventions to the most vulnerable populations. Moreover, as emerging and re-emerging diseases continue to pose global threats, particularly in the context of climate change and urbanization, I am inspired to contribute to building resilient health systems through interdisciplinary approaches. I am especially drawn to integrating machine learning with traditional modelling techniques to enhance the accuracy and applicability of disease forecasts. This field not only aligns with my academic interests but also resonates with my long-term goal of contributing to evidence-based public health policy and global health equity.</t>
  </si>
  <si>
    <t>I am eager to participate in this course because it offers a unique opportunity to deepen my knowledge and practical skills in [insert course topic], which are directly aligned with my academic and professional aspirations. As an Environmental Health specialist and an aspiring PhD candidate, I am committed to addressing pressing public health challenges through innovative, evidence-based solutions. This course will equip me with advanced tools and methodologies that are essential for conducting impactful research, particularly in areas such as digital health, environmental risk analysis, and disease prevention. Furthermore, it will enhance my ability to contribute effectively to interdisciplinary projects and policy initiatives aimed at improving health outcomes in resource-limited settings. By engaging with expert instructors and like-minded peers, I hope to expand my network and gain new perspectives that will inform my future work. Ultimately, this course supports my long-term goal of becoming a leading researcher and educator who drives positive change in public and environmental health through academic excellence, community engagement, and policy advocacy.</t>
  </si>
  <si>
    <t>https://drive.google.com/open?id=1iIPfdV7CU81MQVgitrZUtUfSXktwSXGZ</t>
  </si>
  <si>
    <t>https://drive.google.com/open?id=1rumIBOJV0ZOoHBY-SUFE2IO7nwo7L425</t>
  </si>
  <si>
    <t>https://drive.google.com/open?id=1Xee4IBnKRaUvD4K0rTXO2rVMbS_BYmXT</t>
  </si>
  <si>
    <t>jember azanaw</t>
  </si>
  <si>
    <t>08/05/2025 09:27:49</t>
  </si>
  <si>
    <t xml:space="preserve">Teferedegn </t>
  </si>
  <si>
    <t xml:space="preserve">Hikma </t>
  </si>
  <si>
    <t xml:space="preserve">Fekadu </t>
  </si>
  <si>
    <t>Hikmafekadu@gmail.com</t>
  </si>
  <si>
    <t>+25931692110</t>
  </si>
  <si>
    <t xml:space="preserve">ALERT COMPREHENSIVE SPECIALIZED HOSPITAL </t>
  </si>
  <si>
    <t xml:space="preserve">Infectious Diseases sub-specialist </t>
  </si>
  <si>
    <t xml:space="preserve">Programming languages I used is R. The Programming tool used is DeSolve and EpiEstim.we have developed tuberculosis clinical scoring for patients presented to outpatient clinic with cough of 2 weeks and above. Using this prediction and simple clinical tools we were able to intensify the case detection of tuberculosis in primary health care settings. </t>
  </si>
  <si>
    <t xml:space="preserve">Probability in my sepsis magnitude studies used it quantified the likelihood of sepsis occurrence, mortality and organ failure.  The bayesian Probability used helped me in predicting how patients with quick sequential organ failure assignment scores above 2 is high risk for poor outcomes. Regression analysis in my study identifies relationships between sepsis and the variables like age, sex, type of infection, and other comorbid conditions.  </t>
  </si>
  <si>
    <t xml:space="preserve">I am an infectious Diseases sub-specialist and also holds master's of Public Health.  My primary practice area is infectious diseases and public health.  With the current emerging and re-emerging infectious diseases using modeling is one of important research areas.  </t>
  </si>
  <si>
    <t xml:space="preserve">I wanted to be part of this course because it is very important to know one health in the Emergence of antimicrobial resistance in short of limited capacity in Africa. We might find solutions with one health approach to discovery on new antimicrobial and where we shall act based on the transmission chain of diseases.  </t>
  </si>
  <si>
    <t>https://drive.google.com/open?id=1wwLiXbFZkAY-VP7s6z9E9GOlknDk5GxS</t>
  </si>
  <si>
    <t>https://drive.google.com/open?id=1VgxMOMzUsYGDnAO5dcohtAFQyPgPHaXd</t>
  </si>
  <si>
    <t>https://drive.google.com/open?id=1J9k6K-KnxwOLWGxbS4LbE3Jq7FgpmwLS</t>
  </si>
  <si>
    <t>hikma teferedegn</t>
  </si>
  <si>
    <t>09/05/2025 13:27:40</t>
  </si>
  <si>
    <t>EGHE</t>
  </si>
  <si>
    <t>ENOCH</t>
  </si>
  <si>
    <t>EDWARD</t>
  </si>
  <si>
    <t>enocheghe@gmail.com</t>
  </si>
  <si>
    <t>+234 814 086 9247</t>
  </si>
  <si>
    <t>STATE PRIMARY HEALTH CARE DEVELOPMENT AGENCY</t>
  </si>
  <si>
    <t>EPIDEMIOLOGIST</t>
  </si>
  <si>
    <t>I have immersed experience using R for data analysis as a Disease Surveillance officer in the Edo State Primary Health Care Development Agency. We use R to analyses reports from the eighteen Local Government Surveillance offices of the State. These reports in collaboration with World Health Organization team in the State are visualized using ggplot2 to highlight gaps and challenges regarding the various diseases in the State and help to take prompt actions. I also use R, Excell and SPSS in analyzing immunization report from the various LGAs to properly track disease prevalence and guide the Agency to make inform decision. Furthermore, as a Nigerian Malaria Modelling Fellow (2024–2025), I used Python in Google Colab to model malaria transmission trends, integrating GIS data to map high-risk areas. These tools enabled me to process large datasets, conduct regression analyses, and generate actionable insights for stakeholders. My experience has supported the State Primary Health Care Development Agency to make informed decision in public health programs in Nigeria.</t>
  </si>
  <si>
    <t xml:space="preserve">One of my work was on MODELING THE IMPACT OF ROUTINE IMMUNIZATION AMONG CHILDREN ON MEASLES TRANSMISSION DYNAMICS IN A SOUTHERN NIGERIAN STATE. 
I used R to model measles transmission dynamics among under-5 children in Edo State, Nigeria. The problem was understanding how routine immunization impacts measles spread in a resource-limited setting. I was able to use R Studio (V4.4.0) to cleaned and analyzed seven years of District Health Information System 2 (DHIS2) data, imported via Microsoft Excel. I then developed a simple SVIR epidemic model to estimate parameters like transmission rate, vaccine effectiveness, and coverage rate. The model revealed a low basic reproduction number (0.05981), indicating that current immunization strategies effectively limit measles spread. Visualizations in R’s ggplot2 helped communicate trends to stakeholders, guiding targeted vaccination campaigns. </t>
  </si>
  <si>
    <t>My motivation in infectious disease modelling hails from my ability to address several research questions in my community especially Malaria, measles, and cancers. I was birthed in a primary health care center in my community and I grow seeing how diseases and death that can be preventable kills loved once. This inspire me to use modelling and learnt skills to improve health of those around me. I am currently supporting the State Primary Health Care Development Agency to reach interior and hard to reach children with data through quality data check. I also ensure to address with quality data gaps in surveillance in prioritized diseases as a disease surveillance officer. The Nigerian Malaria Modelling Fellowship further exposed me to modelling to guide health policies and vaccination plans. I love to improve my skills grow and provide better technical support using state of the art tools in modelling to help communities worldwide by creating smart, evidence-based ways to fight infectious diseases in my Country Nigeria.</t>
  </si>
  <si>
    <t>I desire to improve my skills in advanced modelling methodology and use them to address health challenges in my Country and in the global health space. My experience as a Public Health Manager and Nigerian Malaria Modelling Fellow has shown me the power of modeling, such as when I used R to analyze measles transmission in a southern State in Nigeria, revealing a low basic reproduction number and informing vaccination strategies. This course aligns with my goal to become a leading public health expert in infectious disease control by equipping me with cutting-edge tools to predict and mitigate pandemics. I aim to strengthen Nigeria’s health systems through evidence-based interventions, and G-WAC’s focus on pandemic preparedness will deepen my ability to develop robust models for resource-limited settings. I am committed to leveraging this training with my skills in Python, R, and GIS,  to drive impactful health policies and contribute to global pandemic resilience.</t>
  </si>
  <si>
    <t>https://drive.google.com/open?id=1Ucy8NZegdf4_N5zP9IrD3_FqqzsQPEiY</t>
  </si>
  <si>
    <t>https://drive.google.com/open?id=19guMZlcUhfl8xPILyjjbJANop9iq725j</t>
  </si>
  <si>
    <t>https://drive.google.com/open?id=1tC3XKGvV9XI4NCgRAY8w88H24b6ZM1vD</t>
  </si>
  <si>
    <t>enoch eghe</t>
  </si>
  <si>
    <t>09/05/2025 15:35:56</t>
  </si>
  <si>
    <t>Alongya</t>
  </si>
  <si>
    <t xml:space="preserve">Gloria </t>
  </si>
  <si>
    <t>Puponu</t>
  </si>
  <si>
    <t>gloriapuponu@gmail.com</t>
  </si>
  <si>
    <t>+233541516963</t>
  </si>
  <si>
    <t xml:space="preserve">Navrongo Health Research Center </t>
  </si>
  <si>
    <t xml:space="preserve">Research assistant/ Disease Control officer </t>
  </si>
  <si>
    <t xml:space="preserve">In 2023, I did conducted my thesis using secondary data from Afadjato south health and demographic surveillance data to asses the prevalence and associated factors of harmful alcohol consumption and presented the findings at Ghana Health Service Research Division dissemination in 2024. </t>
  </si>
  <si>
    <t xml:space="preserve">First, I employed descriptive statistics to describe the sociodemographic characteristics and alcohol consumption patterns. I additionally conducted bivariate analysis to assess the associations between alcohol consumption and various independent variables thus, the demographic factors. </t>
  </si>
  <si>
    <t xml:space="preserve">As a disease control officer, surveillance is of great concern to me however, being able to assess associations and identifying disease etiology, mode of transmission and response to various interventions is of greater interest. It all started during the covid-19 pandemic, when WHO, CDC, UN and other institutions used risk associations, causal factor, motility and morbidity rates to communicate the danger of the various to the public which made people appreciate it more. That was when I understood that just the number infected with a disease is not enough outbreak communication instead, disease modeling should be included. </t>
  </si>
  <si>
    <t xml:space="preserve">I would be a great honour to participate in this short course because it will strengthen my ability to understand, analyze and predict disease transmission which are crucial controlling outbreaks. Knowledge acquired from this course will enhance my capacity to make evidence-based decisions during outbreaks and also make meaningful contributions to research and policy development going forward. </t>
  </si>
  <si>
    <t>https://drive.google.com/open?id=1zMWiXaFHStsxTVntTjLl1vgWw4xeZICG</t>
  </si>
  <si>
    <t>https://drive.google.com/open?id=1W6zAak_aVTNT3b_xPANllJHzcUnA3PXd</t>
  </si>
  <si>
    <t>https://drive.google.com/open?id=1lFsARrBmSiDc8Aee-K6bvz-RrQ5ZC9H0</t>
  </si>
  <si>
    <t>gloria alongya</t>
  </si>
  <si>
    <t>10/05/2025 23:57:26</t>
  </si>
  <si>
    <t xml:space="preserve">Kwawukume </t>
  </si>
  <si>
    <t xml:space="preserve">Mawumenyo </t>
  </si>
  <si>
    <t>Aku</t>
  </si>
  <si>
    <t xml:space="preserve">kmawumenyo@gmail.com </t>
  </si>
  <si>
    <t>+233243272941</t>
  </si>
  <si>
    <t xml:space="preserve">Ghana Health Service </t>
  </si>
  <si>
    <t xml:space="preserve">Biostatistics Officer </t>
  </si>
  <si>
    <t>I have strong experience using Stata for data analysis and modelling, particularly in public health and health systems research. My work focuses on analyzing large administrative and survey datasets to inform policy decisions. As part of my PhD research, I evaluated the impact of a mobile renewal system within Ghana’s National Health Insurance Scheme. Using Stata, I cleaned and analyzed over 90 million records of enrolment and renewal data. I generated monthly time series of benefit start dates, tracked coverage gaps, and assessed retention patterns. To understand the factors influencing renewal, I applied logistic regression, and to evaluate program impact, I implemented difference-in-differences models and survival analysis. Based on the results of this baseline studies, an add-on was introduced to the mobile renewal system to make it more effective.
I routinely use Stata's tools for data manipulation, time series, and visualization to extract insights and communicate findings clearly. These skills have enabled me to solve complex data problems and contribute to evidence-based improvements in health policy.</t>
  </si>
  <si>
    <t xml:space="preserve">Throughout my research and professional work in public health, I have applied several core quantitative concepts to analyze data and inform decision-making. One such concept is logistic regression, which I used extensively in evaluating Ghana’s National Health Insurance Scheme (NHIS). Specifically, I modelled the likelihood of clients renewing their insurance based on demographic characteristics, region, and whether they used the mobile or office renewal. This analysis helped identify populations at risk of dropping out of the scheme and informed targeted interventions to improve enrolment and retention. I also used a two-part model with average marginal effects to assess the likelihood of having coverage gaps and the length of the coverage gap in health insurance based on the type of renewal method.
I have also used survival analysis to assess time-to-dropout from the Ghana insurance scheme, allowing me to evaluate not just whether clients renewed but when they dropped out. This added a dynamic understanding of enrolment behavior that static models could not capture alone.
I also applied time series analysis to track trends in benefit starts and renewal patterns. I use techniques such as tsset, moving averages, and time-based graphing in Stata to visualise and interpret seasonality and changes over time.
</t>
  </si>
  <si>
    <t>My interest in infectious disease modelling is driven by my work at the intersection of data, health systems, and policy in Ghana. As a biostatistician and public health researcher, I have seen firsthand how timely, data-driven insights can guide interventions and allocate scarce resources more effectively, especially during public health crises. In an era where pandemics are becoming common, I want to grow my ability to forecast disease dynamics, evaluate interventions, and plan effective responses. I believe that modelling is not just an academic tool but a critical component of preparedness and equity in global health. I am particularly motivated by the opportunity to apply mathematical and statistical models to understand transmission patterns, assess the impact of interventions such as vaccination or contact tracing, and inform real-time decision-making in low-resource settings. Infectious disease modelling offers a powerful way to simulate complex systems, anticipate outbreaks, and design optimal responses that can save lives. In my current work with Ghana Health Service, I analyse disease trends to support policy. I see infectious disease modelling as a natural and necessary extension of this work, deepening my ability to contribute to preparedness and resilience, especially in underserved populations. I am eager to strengthen my technical skills and learn from interdisciplinary experts so I can support evidence-based responses to future pandemics and contribute meaningfully to national and global health security.</t>
  </si>
  <si>
    <t xml:space="preserve">I am applying to this course because it offers a unique opportunity to build technical and practical expertise in infectious disease modelling and pandemic preparedness, skills that are directly relevant to my current work and future goals in public health research and policy.
As a PhD candidate in Public Health and a biostatistician with the Ghana Health Service, I am often tasked with analysing health insurance and health service utilisation data to support national health policy. While I am proficient in statistical analysis and health systems research, I recognise the need to deepen my capacity in dynamic disease modelling, particularly as emerging infections and global health threats become more complex and frequent. This course will help me bridge that gap by equipping me with tools to simulate disease transmission, assess the potential impact of interventions, and support evidence-based decision-making. The practical, hands-on nature of the course, combined with exposure to real-world modelling challenges, will prepare me to contribute more effectively to Ghana’s preparedness and response strategies. In the long term, I aim to serve as a technical advisor in health systems strengthening, using data and modelling to improve service delivery and reduce health inequities. This course aligns perfectly with that vision by advancing both my analytical capabilities and my ability to translate models into actionable policy recommendations at the national and global levels.
</t>
  </si>
  <si>
    <t>https://drive.google.com/open?id=1LjvGvdBMGaW9lQ4_AOzGOHZXjxv9MCdw</t>
  </si>
  <si>
    <t>https://drive.google.com/open?id=1kg5eeF5HZ7hzArsyMvifFBtL0JW4AoT_</t>
  </si>
  <si>
    <t>https://drive.google.com/open?id=1mjLEAsa9YGAvCDbL06ITgiKsFX_hfXSx</t>
  </si>
  <si>
    <t>mawumenyo kwawukume</t>
  </si>
  <si>
    <t>11/05/2025 15:35:25</t>
  </si>
  <si>
    <t>CHASUKWA</t>
  </si>
  <si>
    <t>ELLIOUS</t>
  </si>
  <si>
    <t>BENETH</t>
  </si>
  <si>
    <t>chasukwae@aidsmalawi.org.mw</t>
  </si>
  <si>
    <t>+265999948583</t>
  </si>
  <si>
    <t>National AIDS Commission</t>
  </si>
  <si>
    <t>HIV Prevention and Management Officer-Biomedical</t>
  </si>
  <si>
    <t>I have utilised R, a popular programming language for statistical computing and data visualisation, for dataanalysis and modelling. Rs extensive libraries and packages facilitate efficient data manipulation, visulaisation, and modelling. Using R, I analysed a dataset from malawi's HIV treatment program to identify factors associated with treatment adherence and viral suppression. The analysis aimed to inform program improvements and optimise resource allocation. The analysis revealed that patients receiving antiretroviral therapy (ART) at clinics with integrated community-based services had higher rates of viral suppression compared to those receiving ART at clinics without such services. This finding informed the Malawi Ministry of Health's decision to scale up community-based ART services, improving treatment outcomes and increasing access to care.</t>
  </si>
  <si>
    <t xml:space="preserve">The analysis using R informed the decision to scale upcommunity- based ART services in Malawi by identifying effective service delivery models through revealing that community-based ART services were associated with higher rates of viral suppression and treatment adherence. It also helped to identify specific factors that contributed to successful community-based ART services, such as clinic-community partnerships and peer support. The analysis provided robust evidence to inform policy and programatic decisions, supporting the scale-up of community-based ART services. </t>
  </si>
  <si>
    <t xml:space="preserve">I am motivated by several facrtors such as my passion to improve health outcomes and save lives, particularly in resource-constrained settings like my country. At a personal levele, infectious disease modelling involves undeerstanding complex interactions between pathogens, hosts, and environments, which can be intriguing. It can also help to appreciate the role of data analysis and modelling in informed public health policy and interventions. 
At professional level, infectious disease modelling is a growing field with opportunities for reaserch, policy and practice. Modelling often involves collaboration with experts from various field, such as epidemiology, biology, mathematics, and computer science. Modelling can inform evidence-based decisions, optimising interventions, and ultimately improve health outcomes. 
I am motivated that by exploring infectious disease modelling, I can contribute to improving health outcomes, advancing global health security, and addressing the complex challenges posed by infectious diseases. </t>
  </si>
  <si>
    <t xml:space="preserve">My participation in the course will provide insights into the mathematical and computational models used to simulate disease spread, enabling better understanding of pandemic dynamics. I will gain hands-on experience with disease modelling tools and techniques, enhancing their ability to analyse and predict pandemic scenarios. The knowledge I will gain will help me to contribute in identifying potential pandemic threats to enable proactive measures to mitigate their impact. Will be informed to develop effective response strategies, including vaccination campaigns, contarct tracing, and social distancing measures. This course will provide me with networking opportunities  and colaboration with experts in the field, thereby fostering better communication and coordination </t>
  </si>
  <si>
    <t>https://drive.google.com/open?id=1YL8uIa8z91dxBBloOV7dQJT_YL5hNaka</t>
  </si>
  <si>
    <t>https://drive.google.com/open?id=16UZVtIKHLsZYiMr_RGMkIaWywIb-tQsF</t>
  </si>
  <si>
    <t>https://drive.google.com/open?id=100tHCL68xakdIWR-87sqLMRrW0bR9hV9</t>
  </si>
  <si>
    <t>ellious chasukwa</t>
  </si>
  <si>
    <t>11/05/2025 21:16:21</t>
  </si>
  <si>
    <t>AGBERTEY</t>
  </si>
  <si>
    <t>DAVID</t>
  </si>
  <si>
    <t>N\A</t>
  </si>
  <si>
    <t>davidkpagbertey"@gmail.com</t>
  </si>
  <si>
    <t>+233 54 975 4590</t>
  </si>
  <si>
    <t>KNUST</t>
  </si>
  <si>
    <t>STUDENT</t>
  </si>
  <si>
    <t>I utilised Python extensively for data analysis and simulation in my undergraduate thesis, which was titled Mathematical Modelling of the Dynamics of Divorce.  NumPy, SciPy, and Matplotlib are just a few of the scientific libraries for Python that allowed me to solve and visualise complicated systems of ordinary differential equations that modelled interactions between Ghanaian married people, adulterers, and divorcees.
Determining the stability and sensitivity of the model's basic reproduction numbers (Ro) for both adultery and divorce was one of the main issues I dealt with.  I applied the model equations using actual demographic data and carried out a sensitivity analysis to determine which parameters had the most influence. I was able to graph the findings and change each parameter methodically using python, which aided in the development of conclusions that were pertinent to policy.
This practical experience improved my confidence in utilising programming for real-world modelling and deepened my understanding of how computational tools may be applied to social scientific challenges.  Additionally, it improved my proficiency with data visualisation and numerical methodologies, which are critical for data-driven research.</t>
  </si>
  <si>
    <t>One important quantitative notion I used in my work was the use of differential equations, specifically systems of ordinary differential equations (ODEs), to simulate dynamic interactions within a population.  In my undergraduate thesis, Mathematical Modelling of the Dynamics of Divorce, I utilised ODEs to describe how people move between three different social states: married (M), adulterers (A), and divorced (D).  This compartmental method is similar to the conventional SIR model used in epidemiology, in which changes in each group over time are determined by rates of interaction, relapse, and transition.
The system of equations enabled me to model the impact of factors like peer influence, reconciliation efforts, and social pressure on the rate of divorce and adultery. For example, one of the equations modeled how a married person might become an adulterer due to external influences, using parameters such as the influence rate (𝛾1 ) and relapse rate (𝛽).
Using this paradigm, I produced and analysed equilibrium points to better understand the system's long-term behaviour.  I generated threshold numbers (similar to the fundamental reproductive number 𝑅o) to assess when divorce or adultery would become common in the community.  If 𝑅o is less than one, the issue will eventually disappear. If 𝑅o is greater than one, the issue will continue to increase.
This use of differential equations aided my analysis by providing a rigorous, quantitative method for simulating real-world social dynamics and evaluating the consequences of changing various factors.  It gave insight into the elements that have the greatest influence on marital stability and drove policy recommendations targeted at lowering divorce rates.</t>
  </si>
  <si>
    <t>The fact that infectious disease modelling is so important in guiding public health decisions and averting major health emergencies motivates me. Having a solid foundation in applied mathematics, I find it fascinating how mathematical models can be utilised to assess control measures, forecast outbreak outcomes, and comprehend the dynamics of disease transmission. The COVID-19 pandemic, in particular, highlighted the power of mathematical modelling in guiding timely policy responses and resource allocation on a global scale.
During my undergraduate thesis, I used compartmental models to study social phenomena, which gave me a solid foundation in the principles of dynamic systems and threshold analysis. This experience sparked a deeper interest in applying similar techniques to biological systems, especially in the context of infectious diseases where the stakes are high and the impact is measurable.
What excites me the most is the ability to apply data-driven models to real-world problems, such as controlling a local outbreak or developing global immunisation programs.  Infectious disease modelling not only appeals to my analytical skills, but it also connects with my desire to contribute to solutions that protect vulnerable populations and enhance public health outcomes worldwide.</t>
  </si>
  <si>
    <t xml:space="preserve">I’m really pumped about taking this course because it’s a chance to dive deeper into infectious disease modeling and see how it can actually make a difference in public health. I’ve got a solid background in applied math and have played around with differential equations to model things like social dynamics, but now I want to use those skills on biological systems where they can do some real good. This course feels like the perfect way to pick up the tools I need, stuff like epidemiological modeling, crunching data, and running simulations that’ll help make smart, evidence-based health decisions.
Down the road, I want to get into public health research and help shape policies, especially in places where resources are tight and good disease control is a must. This course is a big step toward building the skills and perspective to mix math, data science, and public health in a way that matters. It’s all part of my plan to go for a grad degree in something like epidemiology or biostatistics and eventually team up with health organizations or research groups to create and test solutions that tackle infectious diseases worldwide.
</t>
  </si>
  <si>
    <t>https://drive.google.com/open?id=1uXw9hTnKVP_ke2_PxGXgxwcTYaIqEqKI</t>
  </si>
  <si>
    <t>https://drive.google.com/open?id=18H1_-OPvQkbuHKPclBITFFYRlst7U7xN</t>
  </si>
  <si>
    <t>https://drive.google.com/open?id=1HMh6wY4HrqMpIbiKmuSAgL8sqNll4pdN</t>
  </si>
  <si>
    <t>david agbertey</t>
  </si>
  <si>
    <t>12/05/2025 17:14:10</t>
  </si>
  <si>
    <t>GYABAAH</t>
  </si>
  <si>
    <t>GERTRUDE</t>
  </si>
  <si>
    <t>AHENEWAA</t>
  </si>
  <si>
    <t>gertrudeahenewaa2024@gmail.com</t>
  </si>
  <si>
    <t>0553990875</t>
  </si>
  <si>
    <t>Kumasi center for collaborative research in tropical Medicinepical medicine</t>
  </si>
  <si>
    <t>RESEARCH OFFICER</t>
  </si>
  <si>
    <t>My academic background is rooted in qualitative research, but during my postgraduate studies in Global Health, I was introduced to Stata through coursework and collaborative projects. While I did not apply it directly in my thesis, these experiences gave me valuable exposure to how statistical software can be used to manage and analyze large datasets. This introduction sparked a deeper appreciation for the role of quantitative tools in enriching and validating qualitative insights, particularly in the context of health research and policymaking.
My master’s thesis explored the barriers and facilitators to medication adherence among hypertensive patients, using thematic analysis to draw out meaningful patterns from patient narratives. In parallel, discussions with colleagues working on quantitative data allowed me to observe the utility of tools like Stata and R in identifying trends and shaping intervention strategies.  
I view this course as a critical step toward building my technical capacity in disease modelling, an area that is central to my goal of pursuing a PhD in pandemic preparedness and response. Strengthening my skills in this area will allow me to bridge methodological gaps and contribute to more comprehensive and effective public health solutions.</t>
  </si>
  <si>
    <t>During my public health methods coursework, I became familiar with the fundamentals of simple linear regression, a statistical approach for quantifying the relationship between a continuous outcome and one or more predictors. In essence, regression fits a line (or hyperplane) through data points by minimizing the sum of squared differences between observed and predicted values. Although I have not yet applied regression in my own field research, I practiced it in a classroom setting using a publicly available dataset on blood pressure and daily salt intake.
In that exercise, we defined systolic blood pressure as the dependent variable (Y) and average daily salt consumption (grams) as the independent variable (X). By estimating the regression equation
Y=A+BX
we determined both the intercept A the predicted blood pressure when salt intake is zero—and the slope B the expected change in blood pressure per additional gram of salt. The model yielded a positive slope, suggesting that higher salt intake was associated with increased blood pressure in the sample.
This hands-on application taught me two key lessons:
1.	Assumptions Matter: Checking for linearity, homoscedasticity, and normality of residuals emphasized the importance of validating model assumptions before trusting results.
2.	Actionable Insights: Even a simple regression can translate into public health messaging—for example, estimating how much blood pressure could drop if average salt intake were reduced by 2 g per day.
Learning regression in this controlled environment sharpened my quantitative reasoning and highlighted how modelling can complement qualitative insights. I look forward to applying these principles—and advancing to multivariable and nonlinear models—in pandemic preparedness research, where understanding drivers of disease spread and intervention impact will be critical.</t>
  </si>
  <si>
    <t>My interest in infectious disease modelling stems from observing how powerful these tools have been in shaping public health decisions, especially during the COVID-19 pandemic. While I did not work directly with models, I followed how model-based projections were used globally to guide decisions on hospital capacity, vaccine rollout, and public health restrictions. These examples showed me how mathematical modelling can help anticipate disease trends, optimize resource allocation, and support timely interventions—particularly in low-resource settings.
Through my qualitative research on medication adherence, I’ve come to appreciate how health behaviors and social dynamics influence intervention outcomes. I believe that integrating this type of context-specific knowledge into disease models can make them more responsive and realistic. In countries like Ghana, where access to real-time data and infrastructure may be limited, even modest improvements in forecasting can have meaningful public health impact.
Participating in this course will allow me to gain practical skills in modelling infectious diseases, build a stronger quantitative foundation, and eventually contribute to evidence-based, locally grounded pandemic preparedness strategies as part of my future doctoral work.</t>
  </si>
  <si>
    <t>I am eager to participate in this course because it offers the precise blend of theory, computational techniques, and practical exercises I need to transition from a predominantly qualitative researcher to a fully interdisciplinary infectious-disease modeller. My work at the Kumasi Centre for Collaborative Research and my master’s thesis on hypertension adherence have given me deep insight into peoples lived experiences, but I recognize that quantitative models are essential for predicting outbreak trajectories and evaluating intervention strategies.  
By mastering modules on compartmental models, stochastic simulations, and parameter estimation, I will gain hands-on skills that directly support my goal of pursuing a PhD focused on pandemic preparedness and response. This certificate will equip me with the programming proficiency (in R and Python), statistical foundations, and modelling frameworks required to develop context-adapted forecasts for resource-limited settings like Ghana.  
Longer term, I intend to integrate these quantitative tools with qualitative methods—ensuring that my models reflect community behaviours, cultural factors, and health-system realities. Ultimately, this course aligns perfectly with my ambition to produce holistic, actionable insights that strengthen global and local outbreak preparedness and safeguard vulnerable populations.</t>
  </si>
  <si>
    <t>https://drive.google.com/open?id=19pg5HFNqBNUNffeL4Ra9X2UBnGkdt89G</t>
  </si>
  <si>
    <t>https://drive.google.com/open?id=1I9xQXkJr8mLQYPn74lNTpFmAZ73QmTvA</t>
  </si>
  <si>
    <t>https://drive.google.com/open?id=1rIpPcfs4c59wuTbSVbzifEVeJVlF54bd</t>
  </si>
  <si>
    <t>gertrude gyabaah</t>
  </si>
  <si>
    <t>13/05/2025 12:06:26</t>
  </si>
  <si>
    <t>Asmare</t>
  </si>
  <si>
    <t>Lakew</t>
  </si>
  <si>
    <t>Tilaye</t>
  </si>
  <si>
    <t>lakewt071981@gmail.com</t>
  </si>
  <si>
    <t>+251964604048</t>
  </si>
  <si>
    <t>University teacher</t>
  </si>
  <si>
    <t xml:space="preserve">I have extensive experience using programming languages for data analysis and modeling, particularly in the field of biostatistics and public health. I am proficient in R and Python, which I have used extensively for statistical analysis, data visualization, and multivariate modeling. For example, during my role as a Monitoring &amp; Evaluation Officer in a USAID-funded HIV prevention project, I utilized R to clean, analyze, and visualize large datasets collected from field surveys. I applied regression models and hypothesis testing to identify key factors influencing HIV prevention behaviors, which informed programmatic decisions and improved intervention strategies.
Additionally, I have employed Python for data manipulation and predictive modeling, leveraging libraries such as Pandas and Scikit-learn to develop classification models that helped predict disease risk patterns. My academic and professional roles have involved supervising graduate students in applying these tools for their research projects, further strengthening my practical skills. Overall, my experience with these programming languages has enabled me to solve complex public health data problems, enhance data-driven decision-making, and contribute to scientific publications and reports.
</t>
  </si>
  <si>
    <t xml:space="preserve">In my work as a biostatistician and public health researcher, regression analysis has been a cornerstone of my data-driven decision-making. Regression models allow me to quantify relationships between variables, adjust for confounding factors, and predict health outcomes. For instance, during a USAID-funded HIV prevention project, I applied multiple logistic regression to identify determinants of PrEP (pre-exposure prophylaxis) uptake among high-risk populations in Northwest Ethiopia.
I analyzed survey data from 629 participants to assess how factors like educational status, knowledge level, and access to health services influenced PrEP adherence. Using R and STATA, I constructed a logistic regression model where the outcome variable was binary (adherence: yes/no). The model controlled for covariates such as age, income, and geographic location. Key steps included:
Variable Selection: Testing multicollinearity using variance inflation factors (VIF &lt; 5).
Model Fitting: Iteratively removing non-significant predictors (p &gt; 0.05) via backward elimination.
Regression analysis enabled me to isolate the effect of individual factors while accounting for confounders, ensuring robust evidence for program adjustments. This approach has also been critical in my academic role, where I teach graduate students to apply regression models in their theses. For example, I supervised a student using linear regression to model the relationship between air pollution (PM2.5 levels) and respiratory disease incidence, which identified actionable thresholds for policy interventions.
</t>
  </si>
  <si>
    <t xml:space="preserve">My interest in infectious disease modeling stems from its vital role in understanding how diseases spread and how interventions can control outbreaks. Modeling helps predict the course of infections and evaluate the effectiveness of prevention and treatment strategies, which is crucial for protecting public health. I am motivated by the opportunity to use data and mathematical tools to provide insights that guide decision-making, especially in settings with limited resources like Ethiopia.
I find it rewarding that infectious disease modeling can help anticipate future challenges and improve responses to epidemics, ultimately reducing illness and saving lives. This field combines my passion for quantitative analysis with my commitment to improving health outcomes, making it a perfect fit for my career goals in public and global health.
</t>
  </si>
  <si>
    <t xml:space="preserve">I want to participate in this course to deepen my knowledge and skills in infectious disease modeling, which is essential for addressing complex public health challenges. As a lecturer and researcher in biostatistics and epidemiology, enhancing my expertise in advanced modeling techniques will enable me to contribute more effectively to disease surveillance, outbreak response, and health policy development in Ethiopia and beyond.
This course aligns perfectly with my future goals of leading research projects that use quantitative methods to inform evidence-based interventions and improve health outcomes. By gaining hands-on experience and learning from experts, I aim to strengthen my capacity to mentor graduate students and collaborate on multidisciplinary teams tackling infectious diseases.
Furthermore, the course will support my ambition to influence public health strategies at the national and global levels by providing robust data-driven insights. Ultimately, participating in this course will empower me to bridge the gap between research and practice, advancing my career as a public health professional dedicated to reducing the burden of infectious diseases and promoting healthier communities.
</t>
  </si>
  <si>
    <t>https://drive.google.com/open?id=1Ikaz7WU-GlOrkDFDi11pBka_YcsCK2LA</t>
  </si>
  <si>
    <t>https://drive.google.com/open?id=1pkOZv-Yy3pngzTcul_6hZfidEuYuq7Al</t>
  </si>
  <si>
    <t>https://drive.google.com/open?id=1Bv_JSa1sR4VSmeqewabOH78wqwhoohLS</t>
  </si>
  <si>
    <t>lakew asmare</t>
  </si>
  <si>
    <t>14/05/2025 15:07:46</t>
  </si>
  <si>
    <t>Gracious</t>
  </si>
  <si>
    <t>Zankli Research Centre, Bingham University, Karu</t>
  </si>
  <si>
    <t>I have basic knowledge of R, which I have been building through self-study and introductory coursework in epidemiology. I have used R primarily for basic data cleaning, descriptive statistics, and simple visualizations using packages like tidyverse. While my programming experience is still developing, I am enrolled in the Epiverse training programme, where I will receive structured training on modelling with R, specifically tailored to epidemiological data and real-world applications in public health.
Although I have not yet completed a complex modelling task independently, I have followed along with practical exercises involving epidemic curve plotting and time-series trend analysis. My goal is to move from basic to intermediate competence, and I see this course as an opportunity to strengthen those skills under expert guidance and apply them in contexts like pandemic preparedness and disease control.
This training, combined with my strong interest in public health research, will allow me to effectively apply modelling tools in practical settings, especially in resource-constrained regions like mine.</t>
  </si>
  <si>
    <t>One quantitative concept I have used in my studies is regression analysis, particularly logistic regression, which is commonly used in epidemiology to examine associations between risk factors and health outcomes. In my MPH epidemiology course, we were introduced to the concept as a method to estimate the odds of a binary outcome based on one or more predictor variables.
In a class project, we analyzed a dataset on smoking and respiratory illness among university students. We used logistic regression to examine whether factors such as age, gender, and smoking status were significantly associated with the likelihood of reporting chronic cough. While the analysis was guided by our instructor, I was involved in coding the variables in R, interpreting the output (odds ratios, p-values, and confidence intervals), and summarizing the findings. We found that students who reported daily smoking had significantly higher odds of chronic cough compared to non-smokers (OR = 2.6, 95% CI: 1.5–4.3), even after adjusting for age and gender.
This experience helped me understand how regression models can control for confounding and identify meaningful relationships in health data. It also deepened my understanding of data interpretation, particularly how to differentiate between statistical significance and real-world relevance.
Although I am still developing my analytical skills, especially in applying regression models independently, this foundation has made me more confident in reading and critiquing quantitative research. I am eager to deepen my understanding of these methods through hands-on learning and mentorship, particularly in contexts such as disease modelling where regression forms a basis for more advanced techniques.</t>
  </si>
  <si>
    <t>My interest in infectious disease modelling is driven by a desire to bridge the gap between data and decision-making in public health. The COVID-19 pandemic underscored how critical timely, evidence-based strategies are to protecting vulnerable populations, especially in low-resource settings like Nigeria. I became particularly interested in how mathematical models could guide responses before and during an epidemic or emergency and help anticipate disease spread, evaluate interventions, and allocate resources effectively.
Coming from a background in public health and epidemiology, I’ve seen how often policymakers in Africa rely on data and models generated in entirely different contexts, which may not reflect our realities. I am motivated to develop skills that will allow me to generate locally relevant evidence. Participating in this training would equip me with the technical capacity and collaborative network needed to contribute meaningfully to pandemic preparedness in Africa.
Infectious disease modelling is not just about numbers. It is about saving lives by forecasting risk, informing policy, and strengthening health systems. That purpose deeply resonates with my career aspirations in global health.</t>
  </si>
  <si>
    <t>I want to participate in the G-WAC course on Disease Modelling for Pandemic Preparedness and Response because it offers a unique opportunity to build practical skills in modelling while learning from interdisciplinary experts in Africa and Germany. As someone with a public health background and growing experience in research, I see this course as the next step in strengthening my ability to produce and apply data-driven insights to real-world public health challenges.
This training aligns directly with my future goals of becoming a regional expert in evidence-based public health planning, especially in infectious disease prevention and control. I am particularly passionate about improving epidemic preparedness in Africa through the development of context-appropriate models that inform local decision-making.
The course’s emphasis on hands-on learning and its One Health approach resonates with my interest in integrated public health strategies that consider human, animal, and environmental health. Completing this programme will deepen my technical competence, expand my professional network, and better position me for collaborative research, policy engagement, and future doctoral studies focused on infectious disease modelling in Africa.</t>
  </si>
  <si>
    <t>https://drive.google.com/open?id=1qVRJ5eFdQJv5aT4thGe172vSy8_OsVx3</t>
  </si>
  <si>
    <t>https://drive.google.com/open?id=1golEQb-IIS9X5zaw0O9UtCe9bsuQoQrx</t>
  </si>
  <si>
    <t>https://drive.google.com/open?id=19UoPYvmSnNb91SiE5JkTZrs4LqezB7KM</t>
  </si>
  <si>
    <t>14/05/2025 15:54:18</t>
  </si>
  <si>
    <t>NWOFE</t>
  </si>
  <si>
    <t>JUSTIN</t>
  </si>
  <si>
    <t>ONYEBUCHI</t>
  </si>
  <si>
    <t>justin.nwofe@gmail.com</t>
  </si>
  <si>
    <t>+2348032218915</t>
  </si>
  <si>
    <t xml:space="preserve">APIN Public Health Initiatives </t>
  </si>
  <si>
    <t>Public Health Specialist</t>
  </si>
  <si>
    <t>I have foundational experience using Python and R for data analysis and disease modelling, supported by my use of Linux for computational tasks. To strengthen these skills, I have completed several relevant courses, including Digital Epidemiology and Application in Public Health, Bioinformatics for Biologists – Analysing and Interpreting Genomic Datasets (Wellcome Connecting Science), Basic Bioinformatics and Immunoinformatic, and Infectious Disease Transmission Models for Decision Makers (Johns Hopkins University, Coursera).
I am learning how to use R, to conduct a basic time-series analysis of dengue fever incidence trends in Nigeria to explore seasonal patterns, while Python helped me automate data cleaning and visualization of arbovirus surveillance data – the skill I planned to master during the training. These skills will help me to model the potential spread of arboviruses influenced by environmental variables like rainfall and temperature, helping to identify high-risk periods and locations as well as spillovers for antimicrobial resistances
Although still growing in proficiency, I am a fast learner with strong scientific grounding. I am confident that this course will consolidate my learning and expand my ability to use modelling tools in real-world public health applications. My ongoing work in surveillance and climate-sensitive infectious diseases provides a strong platform to apply these skills immediately and meaningfully.</t>
  </si>
  <si>
    <t>I am privileged to have used in my studies and work is logistic regression, particularly in analysing epidemiological data to identify risk factors associated with infectious diseases. During my MSc in Public Health Epidemiology, I applied logistic regression to assess factors associated with HIV-associated cryptococcal meningitis in Nigeria using retrospective patient data from two geopolitical zones. This method was crucial in determining the likelihood of disease occurrence based on multiple independent variables such as CD4 count, ART status, and co-infections.
Logistic regression allowed me to estimate adjusted odds ratios, accounting for confounding variables and identifying statistically significant predictors of cryptococcal meningitis. For example, I found that patients with CD4 counts below 100 cells/mm³ had significantly higher odds of developing cryptococcal disease compared to those with higher counts. These insights informed the need to integrate cryptococcal screening and pre-emptive treatment into HIV care programs for high-risk populations.
In my current role supporting antimicrobial resistance (AMR) surveillance, I also apply this concept to analyse laboratory surveillance data, identifying trends and predictors of multidrug resistance. Additionally, in my modelling research on arbovirus spillovers, logistic regression helps assess the relationship between environmental factors (e.g., temperature, vegetation index) and the presence of Aedes mosquito vectors in specific geographic locations.
Using logistic regression has enhanced my ability to translate data into actionable public health insights. It has informed the design of targeted interventions and policymaking, particularly in settings with limited resources. My continued interest in modelling and disease dynamics reinforces the importance of mastering such quantitative tools to support evidence-based decision-making across the One Health spectrum.</t>
  </si>
  <si>
    <t>My interest in infectious disease modelling stems from a deep desire to contribute to evidence-based solutions for epidemic and pandemic threats, particularly in low-resource settings. As a Clinical Microbiologist and Public Health Specialist, I have witnessed how delays in data interpretation and weak modelling capacity undermine effective responses to infectious disease outbreaks.
During the COVID-19 pandemic, I saw how countries with strong modelling systems were able to project disease trends, optimize resource allocation, and implement timely interventions. In contrast, much of sub-Saharan Africa, including Nigeria, struggled with limited capacity to generate context-specific models. This motivated me to explore modelling as a tool to bridge the gap between surveillance data and real-time public health action.
Currently, in my role at APIN Public Health Initiatives, I lead laboratory components of surveillance and global health security and work on AMR as well as climate-driven arbovirus modelling. I see enormous potential for using modelling to predict outbreak hotspots, assess intervention strategies, and guide health policy. 
Infectious disease modelling aligns with my long-term goal of pursuing a PhD in Epidemiology or infectious Diseases and contributing to regional outbreak preparedness, especially in the context of One Health. It offers a powerful, data-driven lens to protect public health and build resilient health systems in Africa.</t>
  </si>
  <si>
    <t>I am eager to participate in the G-WAC 2025 course on Disease Modelling for Pandemic Preparedness and Response to strengthen my capacity in applying quantitative approaches to infectious disease control in Africa. As a Technical Officer for Laboratory Services and Surveillance at APIN Public Health Initiatives, I lead laboratory strategies for surveillance and global health security, including antimicrobial resistance and emerging/re-emerging pathogens.
My role involves integrating laboratory data into national surveillance systems and supporting preparedness for public health threats. I am also engaged in modelling research on arbovirus spillovers and outbreaks influenced by environmental and climate factors, aiming to understand transmission dynamics and forecast risks. During the COVID-19 pandemic, I witnessed the challenges posed by limited local modelling capacity, which hindered timely, evidence-based responses.
This course will provide practical, context-relevant modelling tools that I can apply directly in my work and research. It also aligns with my long-term goal of pursuing a PhD in Epidemiology focused on host-pathogen-environment interactions and data-driven outbreak preparedness in LMICs. By enhancing my modelling skills and connecting me with a network of interdisciplinary experts, the program will significantly boost my ability to inform public health action in Nigeria and West Africa.</t>
  </si>
  <si>
    <t>https://drive.google.com/open?id=1mT3vwcmYAlqCc0EjCgXiKD5o984WIhXC</t>
  </si>
  <si>
    <t>https://drive.google.com/open?id=1hUdsUtkBTELzPGH6wPpw5LkAKzirwR_2</t>
  </si>
  <si>
    <t>https://drive.google.com/open?id=1mnCcJHjOjImntmIZtkJcOgJ0aGXEeyaE</t>
  </si>
  <si>
    <t>justin nwofe</t>
  </si>
  <si>
    <t>15/05/2025 15:00:21</t>
  </si>
  <si>
    <t>Sedrique Arnaud</t>
  </si>
  <si>
    <t xml:space="preserve">Tiomela </t>
  </si>
  <si>
    <t>Tanefo</t>
  </si>
  <si>
    <t>sedriquephd2020@gmail.com</t>
  </si>
  <si>
    <t>+237677510500</t>
  </si>
  <si>
    <t xml:space="preserve">University of Yaounde1 </t>
  </si>
  <si>
    <t>Early career researcher</t>
  </si>
  <si>
    <t xml:space="preserve">My analysis currently involves R, Matlab software. I intend to perform by background </t>
  </si>
  <si>
    <t>The PhD journey has involved compartmental modeling of epidemics diseases with the aims being to perform spatio-temporal dynamic of epidemics diseases with time delays in interactions terms.</t>
  </si>
  <si>
    <t>My research focus in disease modeling straightly align the WHO's scope that consists to overcome Neglected tropicals disease in short term</t>
  </si>
  <si>
    <t xml:space="preserve">I aim to deeper my background in disease modeling and data analysis </t>
  </si>
  <si>
    <t>https://drive.google.com/open?id=1YBEZUssT-IxYtW0vAVehr6ZQ4xdBlrLA</t>
  </si>
  <si>
    <t>https://drive.google.com/open?id=16f7buRuzse6h1N2rq8eB0XgOWt4PlXcL</t>
  </si>
  <si>
    <t xml:space="preserve">   Title:Analysis, simulation and applications of a delayed target limited cell model under the cumulative effects of vaccine and treatment                                             In the proposed topic, we investigate mathematically and numerically a modified diffusive target cell limited model in one spatial dimension. The model considers the presence of delay transmission and virus production. Moreover, the model includes the effects from treatment either by mucosal vaccination or antiviral treatment. The cumulative effects are coupled by assuming a Beddington–DeAngelis-type incidence rate on the target cells. The mathematical model is studied analytically through a linear stability analysis. The disease-free and endemic equilibrium solutions are calculated, and the next generation matrix technique is employed to determine the basic reproduction number. Moreover, the stability properties of the equilibria are also derived. A traveling-wave analysis is performed next, and conditions for the existence of positive solutions are rigorously derived. From the numerical point of view, we perform also a traveling-wave analysis via a reliable implicit finite-difference scheme. Various physically relevant implications are derived from our simulations. Some of these consequences could have practical value in order to establish policies on the treatment of epidemic diseases. The proposed approach seems to be a good tool for preliminary test before experimentation in general and specifically may be an alternative to evaluate the within host dynamics in a low-income country where there is a crucial lack of logistics.</t>
  </si>
  <si>
    <t>https://drive.google.com/open?id=1x64YUyz3pWbsBykBu_NlAJBdDUzvOUPo</t>
  </si>
  <si>
    <t>tiomela sedrique arnaud</t>
  </si>
  <si>
    <t>16/05/2025 11:11:18</t>
  </si>
  <si>
    <t>Nkoloma</t>
  </si>
  <si>
    <t>Chriswell</t>
  </si>
  <si>
    <t>Rodney</t>
  </si>
  <si>
    <t>nkolomachriswell@gmail.com</t>
  </si>
  <si>
    <t>+265999404445</t>
  </si>
  <si>
    <t>Ministry of Health -Public Health Institute of Malawi</t>
  </si>
  <si>
    <t xml:space="preserve"> Epidemiologist</t>
  </si>
  <si>
    <t xml:space="preserve">During my Master of Science in Field Epidemiology at Levy Mwanawasa Medical University in Zambia, I gained practical experience using R and STATA for data analysis. My most extensive use was with R, particularly in my field projects and thesis research. One of the field projects which focused on analyzing antimicrobial resistance (AMR) surveillance data. I utilized R to clean, visualize, and analyse large datasets from WHONET to determine resistance patterns across different sentinel sites in Zambia. One specific problem I solved involved identifying trends and seasonality in the prevalence of AMR of public health importance. I applied time-series analysis and logistic regression models in R to understand the predictors of resistance, which informed recommendations for targeted interventions.
Beyond my academic work, I continue to use R in my current role as an Epidemiologist at the Public Health Institute of Malawi, where I contribute to data-driven decision-making in the Emergency Preparedness and Response Division. I have used R for real-time outbreak data analysis, such as during cholera surveillance, to generate epidemic curves and monitor trends. These experiences have solidified my interest in further developing my skills in modelling to better support public health preparedness and response.
</t>
  </si>
  <si>
    <t xml:space="preserve">A key quantitative concept I applied during my Master’s thesis was logistic regression, which I used to identify factors associated with retention in HIV care among youths aged 15–24 years in Lusaka, Zambia, from 2020 to 2023. The study was a retrospective analysis of routine health facility data extracted from the SmartCare electronic medical records system. The main objective was to assess the likelihood of retention in care at 6 and 12 months after ART initiation and determine which demographic or clinical variables influenced this outcome.
Using multivariable logistic regression in R, I was able to model the relationship between retention (as a binary outcome) and several predictor variables including age group (15–19 vs 20–24), sex, WHO clinical stage, facility type (urban vs peri-urban), and baseline viral load. The analysis revealed that youths aged 15–19 years and those enrolled at peri-urban clinics had significantly lower odds of being retained in care. These insights were critical in understanding the barriers to long-term engagement in HIV treatment and highlighted the need for targeted interventions, such as differentiated service delivery models for adolescents.
This application of logistic regression provided robust evidence that informed practical recommendations for improving programmatic support for youth. It also enhanced my ability to communicate findings clearly to stakeholders involved in HIV program planning and policy development. This experience deepened my appreciation for the role of quantitative methods in public health and motivated me to pursue further training in disease modelling to better support data-driven decision-making, particularly in resource-limited settings.
</t>
  </si>
  <si>
    <t xml:space="preserve">My interest in infectious disease modelling is driven by my current work as an Epidemiologist in the Emergency Preparedness and Response Division at the Public Health Institute of Malawi. In this role, I am involved in outbreak detection, investigation, and response coordination for diseases such as cholera, COVID-19 and measles. A recurring challenge in these efforts is the limited capacity to predict outbreak dynamics and assess the potential impact of interventions in real time.
I am motivated to build expertise in disease modelling because I see its critical value in strengthening preparedness and response. Modelling can help forecast epidemic trends, identify hotspots, and guide resource allocation — all of which are vital in low-resource settings like Malawi. During the COVID-19 pandemic, the reliance on externally developed models highlighted the need to develop local capacity that reflects our data and contextual realities.
By deepening my skills in modelling, I aim to contribute to evidence-based decision-making in public health and enhance the timeliness and effectiveness of responses to both emerging and endemic infectious diseases.
</t>
  </si>
  <si>
    <t xml:space="preserve">I want to participate in the Disease Modelling for Pandemic Preparedness and Response course to build practical skills in modelling that are directly applicable to my work as an Epidemiologist at the Public Health Institute of Malawi. As part of the Emergency Preparedness and Response Division, I routinely engage in surveillance and outbreak response, yet I often encounter gaps in our ability to predict disease trends or evaluate the impact of public health interventions using local data. This course presents a timely opportunity to gain foundational and applied knowledge in modelling approaches tailored to African contexts like Malawi.
The course aligns with my future goal of becoming a regional expert in infectious disease epidemiology and modelling, capable of supporting evidence-based policy and preparedness strategies both nationally and within the broader Southern African region. With growing threats from emerging infectious diseases and climate-sensitive health risks, modelling will be a critical tool in designing effective interventions. I am particularly interested in using these skills to bridge the gap between data analysis and strategic decision-making, ensuring that timely, context-specific evidence informs public health actions.
</t>
  </si>
  <si>
    <t>https://drive.google.com/open?id=1Q1fvJkOe72biUjHmLSRnZgilN8yvlAUK</t>
  </si>
  <si>
    <t>https://drive.google.com/open?id=1jzjhJnd8UNlqwO3VdN7sYdU_Dk1dPMxf</t>
  </si>
  <si>
    <t>Looking for a scholarship</t>
  </si>
  <si>
    <t>https://drive.google.com/open?id=1_Kq2eQyM1PVPVzJlMjlW6GYklnW3t_rw</t>
  </si>
  <si>
    <t>chriswell nkoloma</t>
  </si>
  <si>
    <t>16/05/2025 12:29:53</t>
  </si>
  <si>
    <t>Asiedu</t>
  </si>
  <si>
    <t>Manfred</t>
  </si>
  <si>
    <t>Dakorah</t>
  </si>
  <si>
    <t>manfred_asiedu@yahoo.com</t>
  </si>
  <si>
    <t>0548838886</t>
  </si>
  <si>
    <t>Council for Scientific and Industrial Research</t>
  </si>
  <si>
    <t>Data Manager/Biostatistician</t>
  </si>
  <si>
    <t>I have extensive experience using R and Python for data analysis in the field of Neglected Tropical Diseases (NTDs). My work has primarily focused on epidemiological surveillance, trend analysis, and risk mapping to support evidence-based interventions.
In one project, I used R to analyze longitudinal data on schistosomiasis prevalence collected from multiple districts in Ghana. I applied data cleaning procedures using dplyr and tidyr, performed time-series analysis with forecast, and used ggplot2 for visualizations to identify trends over a five-year period. I also utilized sf and tmap to produce spatial maps showing high-risk areas, which informed district-level mass drug administration planning.
In another case, I employed Python (with pandas, matplotlib, and seaborn) to evaluate diagnostic accuracy data for onchocerciasis across regions. 
These tools have allowed me to transform raw surveillance data into actionable insights, supporting NTD control programs in targeting interventions, allocating resources efficiently, and monitoring progress toward elimination goals.</t>
  </si>
  <si>
    <t>One quantitative concept I have frequently applied in Neglected Tropical Diseases (NTDs) research is logistic regression. This statistical method is particularly useful when the outcome variable is binary—such as infection status (infected vs. not infected)—which is common in epidemiological studies of NTDs.
In a recent study assessing risk factors for soil-transmitted helminth infections in school-aged children, I employed logistic regression to examine the association between multiple predictors and the likelihood of infection. Independent variables included environmental factors (e.g., access to clean water, sanitation), behavioral factors (e.g., handwashing practices, wearing of footwear), and demographic variables (e.g., age, sex).
Using R and the glm() function, I fitted the logistic regression model and interpreted the coefficients as odds ratios. This enabled me to quantify how each factor influenced the probability of infection. For example, children without access to improved sanitation had more than twice the odds of being infected compared to those with access. Similarly, not wearing footwear outdoors significantly increased the risk of hookworm infection.
The analysis informed targeted recommendations for intervention. By identifying the most influential risk factors, the results were used to prioritize health education and infrastructure improvements in the communities studied. The model also allowed for adjustment of confounders, which ensured that observed associations were not biased by other underlying variables.
Moreover, I evaluated the model’s performance using Receiver Operating Characteristic (ROC) curves and Area Under the Curve (AUC) values, confirming its predictive ability. This statistical insight helped program implementers develop more efficient, evidence-based strategies tailored to local risk patterns—thus enhancing the impact of control efforts for NTDs</t>
  </si>
  <si>
    <t>My interest in infectious disease modelling is driven by its transformative role in informing evidence-based public and global health interventions. As an epidemiologist and biostatistician, I have witnessed how models provide critical insights into disease dynamics, predict outbreaks, and evaluate the potential impact of control strategies. This capacity to simulate real-world scenarios and guide policy decisions, particularly in resource-limited settings, deeply motivates me.
Working on Neglected Tropical Diseases (NTDs), I have seen the urgent need for accurate, timely data to shape interventions. Modelling offers a unique opportunity to bridge data gaps, assess intervention effectiveness, and optimize resource allocation. For example, during a schistosomiasis mapping project, mathematical models helped predict high-risk zones and prioritize mass drug administration efforts.
What excites me most is the interdisciplinary nature of disease modelling—it blends mathematical rigor with public health relevance. The opportunity to contribute to global health equity, especially in vulnerable populations disproportionately affected by infectious diseases, inspires my continued learning and professional growth in this field. I am eager to further develop my modelling skills to support proactive, data-driven responses to emerging and endemic health threats.</t>
  </si>
  <si>
    <t>I am eager to participate in this course because it offers a unique opportunity to deepen my understanding of infectious disease modelling and its practical application to public and global health challenges. As a data manager, epidemiologist, and biostatistician working primarily on Neglected Tropical Diseases (NTDs), I recognize the growing importance of modelling in optimizing disease control strategies, predicting outbreaks, and guiding policy development.
This course aligns strongly with my long-term goal of becoming a leading expert in data-driven decision-making for infectious disease prevention and control. I aim to contribute to the design of effective, evidence-based interventions, particularly in low-resource settings where NTDs are prevalent. Enhancing my skills in modelling will allow me to better integrate complex datasets, assess intervention impacts, and inform health programs with greater precision.
Furthermore, participating in this course will help me build connections with other professionals and researchers in the field, fostering collaboration and knowledge exchange. Ultimately, it will strengthen my capacity to bridge the gap between data analysis and impactful public health action.</t>
  </si>
  <si>
    <t>https://drive.google.com/open?id=1D82xheP6FoKqmMn03d7amZ8eb4s8NOFD</t>
  </si>
  <si>
    <t>https://drive.google.com/open?id=1AtWJT3h4twJIcZLjwq_nqY_7ouS9Fe3j</t>
  </si>
  <si>
    <t>https://drive.google.com/open?id=18VQQFND_MoAGlti3RtPHw611bVepKB7_</t>
  </si>
  <si>
    <t>manfred asiedu</t>
  </si>
  <si>
    <t>17/05/2025 16:16:24</t>
  </si>
  <si>
    <t>Mali</t>
  </si>
  <si>
    <t>KONE</t>
  </si>
  <si>
    <t>BOI</t>
  </si>
  <si>
    <t>BOI KONE</t>
  </si>
  <si>
    <t>koneb.bk@gmail.com</t>
  </si>
  <si>
    <t>+22379810330</t>
  </si>
  <si>
    <t>Pathogen genomic Diversity Network Africa (PDNA)</t>
  </si>
  <si>
    <t>Pharmacist/Bioinformatician</t>
  </si>
  <si>
    <t>I have experience using Python and R for data analysis, particularly in the context of genomics and microbiology. I use Python libraries like Pandas, NumPy, SciPy, Matplotlib, and Seaborn for data manipulation and statistical analysis, and visualization. For more complex analyses, I utilize scikit-learn for machine learning tasks such as clustering, classification, and regression models. One example of a problem I solved involved analyzing genomic data to track the spread of antimicrobial resistance (AMR) in enteric pathogens. I used R and its Bioconductor suite to analyze high-throughput sequencing data, identify mutations in resistance genes. I then used predictive models using Python’s scikit-learn, combining genomic features with epidemiological data to forecast the emergence of resistance in the future. These models helped inform public health strategies for combating AMR in local communities by identifying high-risk areas and pathogens. These tools are valuable to streamline data workflows and build predictive models, and generate actionable insights from complex biological data.</t>
  </si>
  <si>
    <t>During my Master's degree in bioinformatics, I utilized logistic regression to model the likelihood of antimicrobial resistance (AMR) emergence in enteric pathogens. Logistic regression is particularly valuable for analyzing biological data with binary outcomes, such as distinguishing between resistant and non-resistant strain phenotypes. Following this project, I aspire to apply logistic regression in a similar context—specifically to explore the causal relationships between genotyping, phenotyping patterns, and external influences on resistance mechanisms. For instance, I plan to analyze genomic sequencing data from a specific pathogen alongside epidemiological information regarding antibiotic usage in a given location. By employing logistic regression, we can predict the probability of AMR emergence in particular strains based on various predictors, including known resistance-related mutations and the intensity of antibiotic use. 
The model's output generates odds ratios, which help quantify the impact of each factor on the likelihood of resistance. Furthermore, logistic regression can assist in identifying critical risk factors for AMR, such as the overuse of certain antibiotics or specific mutations that confer resistance. This analysis can inform public health recommendations, leading to more targeted antibiotic stewardship programs and enhanced surveillance in high-risk areas. The ability of logistic regression to incorporate multiple variables and assess their independent contributions has made it an essential tool for refining strategies to combat AMR, particularly in resource-limited settings where data may be sparse. To sum up this potential wealth to explore more, the logistic regression has been an essential quantitative method with can be applied to my work, enabling evidence-based predictions and decisions for more effective AMR management.</t>
  </si>
  <si>
    <t xml:space="preserve">My interest in infectious disease modeling arises from its critical importance in understanding and controlling the spread of diseases, particularly in resource-limited settings. With a background in microbiology, genomics, and bioinformatics, I have witnessed firsthand how pathogens, especially those exhibiting antimicrobial resistance (AMR), can evolve and spread in unpredictable ways. Disease modeling provides a powerful tool for simulating these dynamics and predicting outbreaks, which is vital for making informed and timely public health decisions.
The global health landscape, especially in sub-Saharan Africa, confronts challenges such as data scarcity, limited healthcare infrastructure, and the emergence of new pathogens. These challenges render traditional one-size-fits-all approaches to disease control ineffective. Disease modeling has the potential to bridge this gap by incorporating local data, context-specific risk factors, and the ever-evolving nature of pathogens, thereby delivering more accurate and tailored strategies for outbreak prevention and control.
In my previous work with enteric pathogens, I have utilized basic protein modeling and bioinformatics tools to gain a deeper understanding of microbial behaviors. I am eager to extend this expertise to full-scale infectious disease modeling to contribute to global health initiatives that enhance preparedness, response, and long-term management of infectious diseases, particularly in low- and middle-income countries.
</t>
  </si>
  <si>
    <t xml:space="preserve">I am enthusiastic about this course on disease modeling, as it aligns seamlessly with my background in bioinformatics, microbiology, and antimicrobial resistance (AMR), as well as my aspiration to make a significant contribution to global health. My professional experiences have underscored the complexity of infectious diseases, particularly in low-resource settings where accurate data and predictive tools are often lacking. This course will equip me with the essential skills to develop robust disease models that can inform public health strategies, especially in sub-Saharan Africa. I am particularly excited about learning how to integrate local data and contextual factors into disease models. Given the diverse array of pathogens and the variability in healthcare infrastructure across different regions, this approach will enhance my ability to understand and predict disease dynamics in real-world scenarios.
Looking ahead, I aim to merge my expertise in genomics and bioinformatics with advanced modeling techniques to advance infectious disease surveillance, preparedness, and response strategies. This course will provide me with the tools to create evidence-based models that can directly support public health decision-making and enhance pandemic preparedness, particularly in resource-limited areas.
</t>
  </si>
  <si>
    <t>https://drive.google.com/open?id=1sWtS9SxWigqTEpQ4sRF5TYuqQvp05j6r</t>
  </si>
  <si>
    <t>https://drive.google.com/open?id=1QPz-NOfDjuB2iFqxbXg22bChSJE3ZxUr</t>
  </si>
  <si>
    <t>https://drive.google.com/open?id=1dE4CBJGJC3MPW5fZXk_uTBHp3dxEvS9u</t>
  </si>
  <si>
    <t>boi kone</t>
  </si>
  <si>
    <t>boï kone</t>
  </si>
  <si>
    <t>17/05/2025 22:57:33</t>
  </si>
  <si>
    <t xml:space="preserve">Surakat </t>
  </si>
  <si>
    <t>Yusuf</t>
  </si>
  <si>
    <t>Alhaji</t>
  </si>
  <si>
    <t>yusufsurakat2020@yahoo.com</t>
  </si>
  <si>
    <t>+2348065302440</t>
  </si>
  <si>
    <t>Masaryk University, Brno</t>
  </si>
  <si>
    <t>I have foundational knowledge of R and Python, which I’ve effectively leveraged using AI-assisted tools to support data analysis in public health research. While not a traditional programmer, I use AI platforms like ChatGPT and GitHub Copilot to guide me through R and Python coding tasks, especially for data cleaning, visualization, and statistical modeling.
For example, in a recent survey-based project on vaccine hesitancy, I used R (with support from ChatGPT) to clean and analyze data collected via KoboToolbox. I applied descriptive statistics, cross-tabulations, and logistic regression to explore associations between trust in healthcare systems and vaccine acceptance. AI support helped me write reproducible R scripts for visualizing response patterns and identifying significant predictors.
Additionally, I used Python (with Pandas and Matplotlib) to process time-stamped field data and generate automated dashboards. With AI guidance, I understood how to modify code snippets to suit my dataset without needing advanced programming expertise.
This hybrid approach—combining minimal coding knowledge with AI guidance—has allowed me to independently perform meaningful analyses, improve my technical skills, and accelerate my learning curve in both R and Python.</t>
  </si>
  <si>
    <t xml:space="preserve">One quantitative concept I have applied in my research is logistic regression, which is commonly used when the outcome variable is binary. In public health, logistic regression is particularly useful for understanding the factors that influence decision-making or health behaviours such as vaccine acceptance or refusal.
In a recent survey-based study investigating COVID-19 vaccine hesitancy, I employed logistic regression to identify predictors of vaccine refusal among respondents. The dependent variable was binary “1” for those hesitant to take the vaccine and “0” for those willing. Independent variables included age, education level, trust in health authorities, previous vaccination history, and sources of COVID-19 information.
Using AI-supported tools like R and Chatgpt, I was able to conduct this analysis despite having only basic programming skills. The model produced odds ratios that helped quantify the strength of association between each predictor and vaccine hesitancy. For instance, the regression showed that individuals with low trust in health systems were over three times more likely to be vaccine-hesitant (OR = 3.2, p &lt; 0.05), even when controlling for other variables.
This insight was critical in shaping the interpretation of the data it suggested that improving vaccine uptake required more than just increasing access; rebuilding trust through community engagement and transparent communication was equally important. Logistic regression allowed me to move beyond surface-level associations and examine the underlying relationships that could inform targeted interventions.
Overall, this experience deepened my understanding of how statistical modeling can inform evidence-based public health strategies and policy recommendations.
</t>
  </si>
  <si>
    <t>My interest in infectious disease modelling stems from its power to translate complex disease dynamics into actionable insights for public and global health decision-making. Having worked on vaccination programs and studied vaccine hesitancy, I’ve seen firsthand how mathematical models can predict outbreak scenarios, assess intervention impacts, and guide resource allocation especially in low-resource settings like many parts of Africa.
The COVID-19 pandemic further highlighted the critical role of modelling in anticipating disease spread and evaluating strategies such as lockdowns, vaccination rollouts, and public communication. I’m particularly motivated by how modelling bridges the gap between data and policy helping to save lives by informing timely, evidence-based interventions.
Though I come from a clinical and public health background with limited coding experience, I actively use AI tools to support my learning and application of modelling techniques, especially in R and Python. I see infectious disease modelling as not just a technical tool, but a vital component of health equity, global preparedness, and targeted responses in vulnerable communities.
Ultimately, I aim to use modelling to better understand behavioral drivers like vaccine hesitancy and their downstream effects such as increased antimicrobial resistance to improve population health outcomes and pandemic resilience.</t>
  </si>
  <si>
    <t>I want to participate in this course to strengthen my skills in infectious disease modelling and apply them to real-world public health challenges, particularly in low- and middle-income countries. As a physician and PhD researcher focusing on vaccine hesitancy and antimicrobial resistance in African health systems, I recognise the value of modelling in predicting disease trends, evaluating interventions, and informing policy decisions that can save lives.
This course aligns directly with my future goals of becoming a global health researcher and advisor who bridges data-driven evidence with practical solutions. I aim to contribute to pandemic preparedness, vaccine strategy design, and antimicrobial stewardship programs across Africa and other underserved regions. Enhancing my capacity to model infectious disease dynamics will allow me to generate stronger insights from both primary and secondary data improving the rigour and impact of my research.
Moreover, participating in this course will provide an opportunity to engage with experts and peers from diverse backgrounds, enabling valuable knowledge exchange and collaboration. This aligns with my long-term vision of working with global institutions such as WHO, Africa CDC, or GAVI to develop innovative, context-specific health interventions that address both biological and behavioural drivers of disease transmission.</t>
  </si>
  <si>
    <t>https://drive.google.com/open?id=1sBdOuLcr7LJknZdOzyuB6w90w4nGlbKj</t>
  </si>
  <si>
    <t>https://drive.google.com/open?id=1z2EfbR3vXj_TxwcUkxd2VBzFpXXpG0sC</t>
  </si>
  <si>
    <t>In progress</t>
  </si>
  <si>
    <t>https://drive.google.com/open?id=1GjZfsn1DJ7D-_jHxCfGVWw3vDS0hmvDV</t>
  </si>
  <si>
    <t>yusuf surakat</t>
  </si>
  <si>
    <t>18/05/2025 07:23:46</t>
  </si>
  <si>
    <t xml:space="preserve">Olagbami </t>
  </si>
  <si>
    <t xml:space="preserve">Oluwafemi </t>
  </si>
  <si>
    <t>Samson</t>
  </si>
  <si>
    <t>olagbami.samfem@gmail.com</t>
  </si>
  <si>
    <t>+2347038950505</t>
  </si>
  <si>
    <t>International Centre for Applied Mathematical Modelling and Data Analytics, Federal University Oye-Ekiti, Ekiti, Nigeria</t>
  </si>
  <si>
    <t xml:space="preserve">Research Assistant </t>
  </si>
  <si>
    <t>I have rich and solid experience using R and Python for data analysis and infectious disease modelling, especially in mathematical, statistical, and geospatial modelling methods. My Bachelor’s and Master’s research focused on mathematical epidemiology, which has given me the requisite background and skills to succeed in this modular course.
For my Master’s thesis, titled “Modelling the Impact of Mass Drug Administration with Hygiene on Soil-Transmitted Helminthiasis in Nigeria,” I used R to clean and analyse data, create the research study area maps, and visualize the prevalence and intensity of STH infection data on graphs and maps. I also carried out statistical analysis like correlation and regression, estimated model parameters from real data, and ran simulations to see how different control strategies worked. I worked with packages like ggplot2, dplyr, sf, deSolve, and stats4.
I developed a compartmental model to describe how the infection spreads and used R to simulate the impact of public health interventions. These results helped to better understand which strategies are most effective.
In addition, I used Python for symbolic calculations with SymPy to derive the basic reproduction number (R₀), a critical threshold in disease modelling, and other machine learning algorithms. These experiences, coupled with the value this course offers, will prepare me for a career as a modelling scientist and a PhD in infectious disease modelling.</t>
  </si>
  <si>
    <t>During my master's, the key quantitative concepts I applied in my work were ordinary differential equations (ODEs), regression analysis, and probability. These concepts were implemented in my thesis titled “Modelling the Impact of Mass Drug Administration with Water, Sanitation and Hygiene Interventions on Soil-Transmitted Helminthiasis Transmission Dynamics in Nigeria.”
ODEs were used to develop a compartmental model that describes how individuals move between different epidemiological statuses (e.g., susceptible, infected, recovered) over time. This model captured the population dynamics and the effects of two interventions on STH transmission. Using R (with the deSolve package), I solved these equations numerically to simulate how interventions like mass drug administration (MDA) and WASH would influence disease trends over time. This allowed me to assess the short- and long-term impacts of control strategies and identify conditions under which elimination could be achieved.
In addition, I used regression analysis to explore the relationship between environmental factors—such as rainfall, temperature, and soil pH—and the prevalence of STH infections. By applying multiple linear regression, I identified which factors were significantly associated with infection levels. This approach helped me quantify the strength and direction of these relationships and evaluate environmental risk factors contributing to STH transmission.
I also applied probability concepts while estimating model parameters from data. I estimated the likelihood of various parameter values, allowing me to refine simulations and make predictions with greater confidence.
Together, these quantitative tools—ODEs, regression, and probability—provided a solid framework for understanding the drivers of STH transmission and assessing the impact of MDA and WASH interventions. They helped provide quantified, evidence-based recommendations for disease control and demonstrated how mathematical modelling can support real-world decision-making in public health.</t>
  </si>
  <si>
    <t>My interest in infectious disease modelling is driven by a deep desire to understand and reduce the burden of diseases in vulnerable populations. Growing up in Nigeria, I witnessed firsthand how preventable infections like malaria and soil-transmitted helminths affect people’s health, education, and productivity. This inspired me to pursue a career where I could use mathematics as a tool to improve public health outcomes.
During my undergraduate and master’s research, I developed models to study disease transmission dynamics and evaluate the effectiveness of control strategies such as mass drug administration and WASH interventions. I realised how mathematical models can offer valuable insights into the timing, scale, and cost-effectiveness of interventions—especially in resource-limited settings. These experiences strengthened my belief that modelling can guide better decisions and policies for disease prevention and control.
My long-term goal is to become a modelling scientist and contribute to global health initiatives by supporting evidence-based strategies to reduce disease transmission. I am especially interested in integrating environmental, demographic, and intervention data to forecast outbreaks and improve health planning. Infectious disease modelling offers a unique opportunity to combine scientific knowledge with practical impact, which continues to motivate my path in research and public health.</t>
  </si>
  <si>
    <t>I am eager to participate in this course because it offers a rare opportunity to strengthen my capacity in infectious disease modelling within the African context. My academic background in mathematical modelling and my research on soil-transmitted helminthiasis have shown me the importance of generating context-specific models to inform public health strategies in low- and middle-income countries. The course’s focus on both foundational and advanced disease modelling, combined with its One Health approach, aligns closely with my interests in integrating mathematical, statistical, and epidemiological methods to tackle disease threats in Africa.
The hands-on training and exposure to real-world data will enhance my technical skills in simulation, model calibration, and interpretation—skills I plan to apply in my future PhD and career as a modelling scientist. Moreover, engaging with interdisciplinary experts and peers will broaden my perspective and foster collaborative opportunities across the continent.
This course will serve as a bridge between my current academic training and the practical demands of outbreak preparedness and endemic disease control in Africa. Ultimately, it will strengthen my ability to contribute to data-driven public health decisions and help build sustainable modelling capacity for pandemic prevention in the region.</t>
  </si>
  <si>
    <t>https://drive.google.com/open?id=1hjf7msXaEJqYWjcXSUp04PvrmqHWXQhv</t>
  </si>
  <si>
    <t>https://drive.google.com/open?id=1bvnUrAt1we3C2a36mzo9NV7zREVe7elJ</t>
  </si>
  <si>
    <t>https://drive.google.com/open?id=1Yujwro41qwvn4Txo2iXK6ANaFa6AB0og</t>
  </si>
  <si>
    <t>oluwafemi olagbami</t>
  </si>
  <si>
    <t>18/05/2025 23:15:46</t>
  </si>
  <si>
    <t>CHAH</t>
  </si>
  <si>
    <t>PETER</t>
  </si>
  <si>
    <t>NGES</t>
  </si>
  <si>
    <t>chahpeter128@gmail.com</t>
  </si>
  <si>
    <t>+237672559089</t>
  </si>
  <si>
    <t>University of Buea/National Polytechnic University Institute Bamenda.</t>
  </si>
  <si>
    <t>PhD fellow/ Lecturer of Biomedical sciences and Researcher in One Health.</t>
  </si>
  <si>
    <t xml:space="preserve">In my recent experience with data analysis and modeling, I collaborated with group members from Nigeria and Guinea Conakry on a project titled "Anthrax Surveillance in Nigeria: Evaluating Reporting Rates and Predicting Future Trends Across Geopolitical Zones." Our primary aims were to estimate anthrax case rates, analyze new confirmed positive cases, and predict future trends.
We used R for statistical analysis, applying Binomial and Poisson distributions. For estimating new cases, we employed Poisson distribution, using parameters like a simulated rate to account for uncertainty and a projected animal population for Year 1, with a growth rate of 1.01. This process was repeated across multiple iterations to capture variability.
To predict confirmed positive cases, we applied the Binomial distribution, using the newly estimated cases and the expected proportion of confirmed positives. Additionally, we calculated the estimated anthrax case rates in the livestock population using a Bayesian approach with a gamma conjugate prior.
Using R packages such as dplyr for data manipulation and ggplot2 for visualization, we created insightful forest plots to illustrate our findings. This project not only enhanced my programming skills but also deepened my understanding of disease surveillance and the critical role of statistical modeling in public health decision-making.
</t>
  </si>
  <si>
    <t xml:space="preserve">
One key quantitative concept I applied in our recent project on "Anthrax Surveillance in Nigeria" is the Poisson distribution. This method is particularly useful for modeling count data and events occurring over a fixed period, making it ideal for estimating the number of new anthrax cases in various geopolitical zones.
In our analysis, we aimed to estimate new cases of anthrax based on historical data and projected population growth. By using the Poisson distribution, we modeled the expected number of new cases while accounting for uncertainty in case rates across different regions. We defined our parameters using a simulated rate to capture this uncertainty and a population projection for Year 1, which included an annual growth rate of 1.01. This approach allowed us to generate estimates through multiple iterations, effectively capturing variability in our predictions.
To predict the number of confirmed positive cases from our new case estimates, we employed Binomial distribution. This distribution helped us to estimate the likelihood of a given number of cases being confirmed based on the expected proportion of confirmed positives derived from the newly estimated cases.
These quantitative methods informed our analysis by providing a framework for understanding the dynamics of anthrax spread. Additionally, we incorporated a Bayesian approach, specifically using a gamma conjugate prior, to refine our case rate estimations and enhance the reliability of our predictions.
The statistical concepts were instrumental in transforming raw data into actionable insights. The concepts enabled us to evaluate reporting rates and forecast future trends in anthrax cases, which is crucial for effective public health decision-making.
 My experience of statistical modeling was deepened and its vital role in addressing public health challenges, especially in infectious one health diseases.
</t>
  </si>
  <si>
    <t xml:space="preserve">My interest in infectious disease modeling stems from a deep commitment to improving public and global health outcomes. As a PhD student studying Epidemiology, Infection, and Global Health, I recognize the critical role that correct modeling plays in understanding disease dynamics. My recent project on "Anthrax Surveillance in Nigeria" highlighted the importance of using statistical methods, such as the Poisson and Binomial distributions, to estimate case rates and predict future trends.
Lecturing in biomedical sciences and conducting research on One Health diseases, including mpox and anthrax, has further fueled my passion for this field. I am motivated by the potential of data-driven insights to inform public health interventions, guide policy decisions, and ultimately reduce the burden of infectious diseases.
Modeling allows us to simulate various scenarios and assess the effectiveness of different strategies in controlling outbreaks. This capability is vital in a rapidly changing global landscape where emerging infectious diseases pose significant threats. By bridging the gap between research and practical application, I aspire to contribute to effective strategies that enhance disease prevention and control, ultimately improving health outcomes for communities worldwide.
</t>
  </si>
  <si>
    <t xml:space="preserve">My interest in infectious disease modeling stems from a deep commitment to improving public and global health outcomes. As a PhD student studying Epidemiology, Infection, and Global Health, I recognize the critical role that correct modeling plays in understanding disease dynamics. My recent project on "Anthrax Surveillance in Nigeria" highlighted the importance of using statistical methods, such as the Poisson and Binomial distributions, to estimate case rates and predict future trends.
Lecturing in biomedical sciences and conducting research on One Health diseases, including mpox and anthrax, has further fueled my passion for this field. I am motivated by the potential of data-driven insights to inform public health interventions, guide policy decisions, and ultimately reduce the burden of infectious diseases.
Modeling allows us to simulate various scenarios and assess the effectiveness of different strategies in controlling outbreaks. This capability is vital in a rapidly changing global landscape where emerging infectious diseases pose significant threats. By bridging the gap between research and practical application, I aspire to contribute to effective strategies that enhance disease prevention and control, ultimately improving health outcomes for communities worldwide.
</t>
  </si>
  <si>
    <t>https://drive.google.com/open?id=1GWGQ70MMnm6XFaPBdFQAXU5XyWyQzGwQ</t>
  </si>
  <si>
    <t>https://drive.google.com/open?id=1I5w7J9vJ5SPlvxRTgZj0xb9QKufHR13K</t>
  </si>
  <si>
    <t>https://drive.google.com/open?id=1WwccifVnCaE09v3BTUCqiExwNvZhUHHd</t>
  </si>
  <si>
    <t>peter chah</t>
  </si>
  <si>
    <t>19/05/2025 09:29:22</t>
  </si>
  <si>
    <t>Damian</t>
  </si>
  <si>
    <t xml:space="preserve">Dismas </t>
  </si>
  <si>
    <t>Majaliwa</t>
  </si>
  <si>
    <t>dismas.damian@yahoo.com</t>
  </si>
  <si>
    <t>+255767163354</t>
  </si>
  <si>
    <t>Emergency ONG ONLUS</t>
  </si>
  <si>
    <t>I have used multiple programming tools for public health data analysis, with increasing application of R and Python in recent projects. In my role as a Vaccine Preventable Diseases Consultant at SCIDaR, I utilized R and Excel to generate post-campaign dashboards and real-time surveillance reports, supporting outbreak detection and decision-making across Tanzania. I also applied Python during training courses, such as the “Python Programming Fundamentals” offered by the University of Toronto (Coursera), and am currently integrating Python scripts for automating health risk assessments and data cleaning tasks.
An example of my practical use was during my consultancy with Emergency ONG ONLUS in Afghanistan, where I applied GIS and R to map high-risk zones for vaccine-preventable diseases like polio and arboviruses. By analyzing spatial and temporal data under varying climate patterns, I contributed to adapting immunization strategies to evolving transmission risks. These tools allowed for more dynamic, evidence-based planning, particularly in resource-constrained and conflict-affected settings.</t>
  </si>
  <si>
    <t>Regression analysis has been a central tool in much of my work in public health research and epidemiology. During my MSc in International Health at Heidelberg University, I applied multivariate regression in a systematic review and meta-analysis exploring the economic impact of domestic violence in Africa. I used regression models to quantify the relationships between domestic violence prevalence and various socio-economic indicators such as healthcare costs and productivity losses across different regions. This approach enabled me to control for confounding factors, understand causal patterns, and generate regionally specific policy insights.
Additionally, in my role with the University of California, Berkeley, leading an RCT on cash/food assistance and ART adherence in Tanzania, logistic regression was applied to evaluate the likelihood of improved retention in care among people living with HIV receiving different intervention arms. This statistical approach was instrumental in identifying key predictors of adherence, allowing the project team to recommend targeted support for the most vulnerable populations.
More recently, while conducting a national mapping of Community Health Workers in Tanzania, I used regression modeling with STATA to identify regional and socio-demographic factors influencing CHW coverage. The results informed the Ministry of Health’s policy on equitable deployment of health workers.
Regression analysis, in its many forms, has been critical to my work—whether for evaluating intervention outcomes, adjusting for bias, or generating predictive insights for disease surveillance and health systems planning.</t>
  </si>
  <si>
    <t>My interest in infectious disease modelling stems from over a decade of working at the intersection of disease surveillance, epidemiology, and climate-sensitive outbreak response in Africa and Asia. I have witnessed how data-driven models, when tailored to local contexts, can transform public health response, especially during emergencies such as polio and measles outbreaks or COVID-19 vaccine deployment.
Having supported WHO, UNICEF, and Ministries of Health in regions like Tanzania, Afghanistan, and South Sudan, I recognize the urgent need for context-specific models that incorporate not only epidemiological data but also behavioral, climatic, and socioeconomic dimensions. My growing skills in R, Python, and GIS, coupled with my passion for climate-resilient public health systems, fuel my desire to contribute to locally informed and policy-relevant models that can support real-time decisions and long-term planning.
I view modelling as a powerful tool not only for understanding disease transmission but also for advocating for equitable, cost-effective interventions, especially in low-resource and conflict-affected settings where every decision counts.</t>
  </si>
  <si>
    <t>This course aligns directly with my goal of becoming a regional expert in infectious disease modelling, particularly in the context of climate change and public health preparedness in sub-Saharan Africa. The G-WAC training offers a rare opportunity to deepen my technical capacity in both foundational and advanced modelling approaches, while engaging with interdisciplinary peers and experts across West Africa and Germany.
As I prepare to pursue a PhD focused on health economic modelling for infectious disease control, this course will enhance my readiness to contribute to complex, real-world research projects involving transmission dynamics, cost-effectiveness, and One Health strategies. I am especially interested in learning to develop and apply models that are locally adapted, data-driven, and accessible to policymakers in African settings.
Participation in this course will also support my ongoing work in policy translation, where I strive to bridge the gap between data and decision-making in health emergencies. I believe this training is a strategic step toward my broader ambition to contribute to pandemic preparedness and resilient health systems across the Global South.</t>
  </si>
  <si>
    <t>https://drive.google.com/open?id=1bwtnFvSb4u0oDZ8qXxfyMSslmSGK_UJ3</t>
  </si>
  <si>
    <t>https://drive.google.com/open?id=1mnYwfYiZdBudttaAD6SIz6QC4wZR-pRS</t>
  </si>
  <si>
    <t>https://drive.google.com/open?id=1zHWKYx8TK80m9b3UV_huomU7c-7RgTnj</t>
  </si>
  <si>
    <t>dismas damian</t>
  </si>
  <si>
    <t>19/05/2025 09:39:49</t>
  </si>
  <si>
    <t>Mshelia</t>
  </si>
  <si>
    <t>Umaru</t>
  </si>
  <si>
    <t>yusufumshelia@gmail.com</t>
  </si>
  <si>
    <t>+2347031317075</t>
  </si>
  <si>
    <t>Data Aid</t>
  </si>
  <si>
    <t>Programs Manager</t>
  </si>
  <si>
    <t>In the developing analytics for National One Health Risk Surveillance and Information Sharing eTool (eNOHRSIS) in Nigeria, I have used R and developing analytics for visualization of reported data. The eNOHRSIS Platform comprised of the One Health Coordinating Units of Nigeria CDC, Federal Ministries of Agriculture and Environment. The tool reports Health hazards from the 3 partners using the horizon scanning model.
In addition, I have used SQL and MySQL in database queries in for web-based systems and integration with analytical tools. With R, I developed data reporting tool and the dashboards using R Shiny to reflect the time series analytics of health hazards of one health importance.</t>
  </si>
  <si>
    <t>I have conducted a regression analysis in the assessment of One Health Knowledge, Attitude and Practices (KAP) and how they influence health outcomes in Karu, Nassarawa State. Nigeria.
The choice of this was to determine the demographic predictors of one health KAP. The study aimed to investigate the OH knowledge, attitudes, and practices and how these factors influence health outcomes within a sub-urban context. Methods: We conducted a cross-sectional study in Karu Local Government Area of Nasarawa State, Nigeria. A quantitative data collection for among adults (above 18) sampled 130 respondents. Multivariate regression analysis and Chi-square test were used for analysis. Results: Our findings revealed the overall scores for knowledge (poor=55.4%, good=44.6%), attitude (attitude=31.1%, positive=66.9) and practices (poor=83.1%, good=16.9%). The association between socio-demographic factors and knowledge revealed that the only statistically significant associations were found between knowledge and age range (chi-square = 9.982, p-value = 0.041), educational level (chi-square = 12.480, p-value = 0.014) and occupation (chi-square = 15.848, p-value = 0.007) at statistical p-level &lt; 0.05. The Chi-square test of association between the KAP and health outcomes revealed that there were significant associations between the health outcomes overall knowledge (chi-square = 4.153, p-value = 0.042) and overall practice (chi-square = 3.428, p-value = 0.050). The predictors of healthy state outcomes were determined by using the logistic regression analysis showed that poor overall knowledge is 0.5 less likely to have healthy state outcome (AOR = 0.538, p-value = 0.119), likewise, poor overall practice is 0.4 times less likely to have heathy state outcome (AOR = 0.441, p-value = 0.178). Finally, the study concludes that Karu has low knowledge level and poor OH related practices with OH knowledge varying across age, occupation and level of educations</t>
  </si>
  <si>
    <t>I have led a national data reporting initiative, however, I need to scale my knowledge to global practices with predictive capabilities to provide a more effecient and effective data delivery in Nigeria.</t>
  </si>
  <si>
    <t>As the programs lead and co-founder of Data Aid, I believe this course will enhance our capacity towards mainstreaming modeling and predictive surveillance in the programming of Data Aid's activities within and externally with partners</t>
  </si>
  <si>
    <t>https://drive.google.com/open?id=1xqjHkzSdNG8rme3_2yj1DaT0PzGQgPFP</t>
  </si>
  <si>
    <t>https://drive.google.com/open?id=1HvTjeukZKBjdBaB26pqXGzy3k1LIL-WS</t>
  </si>
  <si>
    <t>https://drive.google.com/open?id=1_nEW1EPzW0ikFSxcjO4qBwzh8JHm7_q9</t>
  </si>
  <si>
    <t>yusuf mshelia</t>
  </si>
  <si>
    <t>yu-da25 - yu mshelia</t>
  </si>
  <si>
    <t>Moderate programming skills; Needs stronger alignment; Relevant experience</t>
  </si>
  <si>
    <t>20/05/2025 11:06:51</t>
  </si>
  <si>
    <t>TAUNA</t>
  </si>
  <si>
    <t>KALAT</t>
  </si>
  <si>
    <t>HARUNA</t>
  </si>
  <si>
    <t>Kalat.tauna@kdsg.gov.ng</t>
  </si>
  <si>
    <t>+234 803 854 3155</t>
  </si>
  <si>
    <t>Veterinarian</t>
  </si>
  <si>
    <t>I possess baseline experience in the application of R programming for data analysis, particularly in the context of epidemiological surveillance and public health reporting. During the implementation of a rabies intervention program, I applied R for cleaning and analysis of community-level data collected using Kobo Toolbox. I used simple statistical functions and packages such as dplyr, ggplot2, and epitools to produce frequency distributions, compute prevalence, and create visual summaries (e.g., bar graphs, pie charts) of vaccine coverage and reported cases of dog bites in the coverage or study area.
I also employed Microsoft Excel in conjunction with R to model trends over time and stratify data by risk factors like age, location, and exposure history. This guided targeting in future vaccination campaigns.
I aspire to continue utilizing my programming abilities, in this instance with R and Python, towards increasingly sophisticated disease modelling and simulation projects within the arena of infectious disease research.</t>
  </si>
  <si>
    <t>One of the most significant quantitative concepts that I have applied in my studies is probability, notably disease risk evaluation and outbreak investigation. During surveillance exercise for rabies and avian influenza in Kaduna State, I used conditional probability to calculate the likelihood of disease existence in locations as indicated by history presented and exposure. This helped determine locations that required intervention urgently.
For instance, in the assessment of risk for rabies, I made an estimate of the probability that a dog bite case was caused by a rabid animal when it was preceded by symptoms like excessive salivation, aggression, and change in behavior. By the application of Bayes' Theorem, we were able to combine existing data from laboratory-proven cases of rabies with what was seen to increase accuracy of our field diagnosis before laboratory confirmation. This was particularly useful where the turnaround of diagnostic testing was slow in rural areas.
In yet another instance, while examining equine disease survey data, I utilized probability distributions (e.g., binomial and Poisson) to model the number of horses with dermatophytosis per stable to detect patterns of clustering and whether cases were randomly distributed or clumped on the basis of shared risk factors.
These probability models not only improved our field data interpretation, but also guided our resource planning and response strategies. Probability knowledge enabled better planning and maintained interventions as both evidence-based and cost-effective.
I have learned to better appreciate the importance of quantitative thinking in solving real-world public health issues from this experience.</t>
  </si>
  <si>
    <t>My interest in infectious disease modelling is driven by its critical role in predicting, preventing, and controlling disease outbreaks, especially in resource-limited settings like mine. As a veterinarian actively involved in zoonotic disease surveillance and response (e.g., rabies, avian influenza), I’ve witnessed how delayed or imprecise data can hinder timely interventions. Modelling provides a powerful tool to simulate scenarios, estimate transmission dynamics, and guide evidence-based decision-making before outbreaks escalate.
I am particularly motivated by the capability of modelling to improve public health preparedness, optimize resource use, and inform policy-making, especially in low- and middle-income countries. It bridges the gap between data from the field and computational insights, helping predict outcomes and evaluate control measures.
With my training in veterinary public health, food safety and risk assessment and molecular biology, I see infectious disease modelling as the natural stepping stone that will allow me to contribute data-driven insights to national and international health security, namely through the prevention of emerging zoonoses and epidemic risk.</t>
  </si>
  <si>
    <t>I would like to take this course because it is a unique opportunity to expand my theoretical foundations and practical skills in infectious disease modelling, a critical area that will strengthen my foundation in veterinary public health and zoonotic disease surveillance. Having been actively involved in outbreak response efforts for outbreaks like rabies and avian influenza, I know the utility of modelling in anticipating outbreaks, guiding interventions, and informing policy decisions.
This course aligns with my long-term goal of working towards early warning systems and risk-based disease management policies in Nigeria and all of sub-Saharan Africa. I plan to integrate molecular diagnostics, field epidemiology, and modelling in order to develop impactful public health responses against zoonotic and emerging infectious diseases.
Additionally, the course will increase my capacity to engage in interdisciplinary research and provide evidence-based recommendations to stakeholders and policymakers. The training, mentoring, and network that it offers are exactly what I need to advance a career in global One Health and epidemiological modelling.</t>
  </si>
  <si>
    <t>https://drive.google.com/open?id=14Xa5bJxyNYKTsDSqc7cunO-ajgIADA_p</t>
  </si>
  <si>
    <t>https://drive.google.com/open?id=1AWhWJODDRdjNZ0QW8MyAmmsOSJAU5Q5H</t>
  </si>
  <si>
    <t>https://drive.google.com/open?id=1kijV_JenNIqI96qzpzVbwjbs4fkGEA6O</t>
  </si>
  <si>
    <t>kalat tauna</t>
  </si>
  <si>
    <t>20/05/2025 22:36:13</t>
  </si>
  <si>
    <t>ALI</t>
  </si>
  <si>
    <t>DJABER</t>
  </si>
  <si>
    <t>Mahmoudou</t>
  </si>
  <si>
    <t>alidjabermahmoud@gmail.com</t>
  </si>
  <si>
    <t>+237694984000</t>
  </si>
  <si>
    <t>Réseau d'épidemiosurvellence du Cameroun</t>
  </si>
  <si>
    <t xml:space="preserve">Médecin Vétérinaire </t>
  </si>
  <si>
    <t xml:space="preserve">I have primarily used MaxEnt software and Excel for data analysis and modeling in an epidemiological context, with a foundational knowledge of the R programming language. During my work on animal and human rabies in Cameroon, MaxEnt enabled me to model the spatial distribution of the disease based on various environmental and anthropogenic factors. This software, which applies the principle of maximum entropy, helped identify high-risk areas by producing predictive maps from occurrence data and explanatory variables. Additionally, I used Excel to organize, clean, and analyze raw data, perform descriptive statistics, create pivot tables, and visualize results through graphs. I also have basic skills in R, which I use for simple statistical analyses and data manipulation, and I am actively working to deepen my proficiency in this powerful and flexible tool. This combination of tools has allowed me to fully leverage available data, identify spatial and temporal trends, and contribute to a better understanding of disease dynamics while supporting public health decision-making
</t>
  </si>
  <si>
    <t xml:space="preserve">We used the maximum entropy modeling approach (MaxEnt) using the stand-alone MaxEnt software. We used the regression model, despite the fact that collinearity is a problem in regression modeling, as highly correlated predictor variables cannot independently predict the value of the dependent variable, reducing their statistical significance. Variables not participating in the model were discriminated using the MaxEnt model's Jacknife procedures, which rank variables according to their percentage contribution to model development.
</t>
  </si>
  <si>
    <t>My interest in infectious disease modeling stems from its unique ability to transform complex data into concrete tools for public health decision-making. Modeling enables us to better understand transmission dynamics and anticipate epidemics. In a global context marked by emerging health threats such as pandemics, antimicrobial resistance and zoonoses, this tool becomes essential to guide rapid responses. Having worked on animal and human rabies issues, I've been able to observe the extent to which adapted models can help target flaws in prevention systems. I'm passionate about this systemic and predictive approach, as it links the local and global levels, taking into account social and environmental factors</t>
  </si>
  <si>
    <t>I want to take part in this course because it represents a unique opportunity to deepen my skills in infectious disease modeling, a field at the heart of my academic and professional interests. By combining a rigorous theoretical approach with concrete public health applications, this program will enable me to better understand transmission mechanisms, assess the impact of health interventions and develop data-driven decision-support tools. This course is directly in line with my future goals, which are to contribute to the prevention and control of infectious diseases, particularly in resource-limited settings. Ultimately, I'd like to take part in research and action projects in applied epidemiology, in conjunction with public health institutions or international organizations. Mastering modeling tools is essential for analyzing complex systems, anticipating health crises and proposing effective and equitable strategies. Joining this course will also enable me to interact with like-minded experts and peers, which is essential for enriching my thinking and building solid collaborations for the future.</t>
  </si>
  <si>
    <t>https://drive.google.com/open?id=1yWpbYEfhqLn5DPkg3DTykY78Zvmd8V2Q</t>
  </si>
  <si>
    <t>https://drive.google.com/open?id=1nCVV7HVUrHCKvVTTWbEO5iGcR2RnLNw4</t>
  </si>
  <si>
    <t>https://drive.google.com/open?id=1Ku6Vdu97OYacvMlhQwF_D0ZmCCfHwonP</t>
  </si>
  <si>
    <t>djaber ali</t>
  </si>
  <si>
    <t>djaber mahmoud ali</t>
  </si>
  <si>
    <t>21/05/2025 11:21:32</t>
  </si>
  <si>
    <t>Kwarteng Acheampong</t>
  </si>
  <si>
    <t>Gideon</t>
  </si>
  <si>
    <t>Kofi</t>
  </si>
  <si>
    <t>gid.mph@gmail.com</t>
  </si>
  <si>
    <t>0209092232</t>
  </si>
  <si>
    <t xml:space="preserve">Disease Surveillance Department- Ghana Health Service Headquarters </t>
  </si>
  <si>
    <t>Health Research Officer</t>
  </si>
  <si>
    <t xml:space="preserve">I have been performing statistical analysis using STATA and R tools for my doctoral research on the determinants of COVID-19 mortality. The analysis focuses on using multilevel Mixed Effects Generalised Linear Modelling (MEGLM) to estimate the risk factors of COVID-19 using routine surveillance records of about 152, 896 case-based records. So far, I have drafted one manuscript on using MEGLM and I am currently using another called the Zero-Inflated Poisson and Negative Binomial Model to estimate the influence staffing levels and hospital case load has on COVID-19 death counts.
In May 2022 I participated in a training workshop on Epidemiological Modelling for Public Health Emergency Preparedness and Response, organized by the World Health Organisation and UK AID. The training focused on using SEIR and SIR models to predict the patterns of infectious diseases as part of preparedness for health emergencies. The tool used for the program was R Statistical software. During this training I used data from Ghana’s routine surveillance records on COVID-19 to forecast daily case patterns in Ghana. Specifically, I used the daily aggregates of COVID-19 cases across Ghana between March 2020 – April 2022, making about close to 800 data points to fit a SIR model as part of my personal output for the workshop. Indeed, that program was helpful and gave me more insights on how I can improve surveillance by using compartmental models. 
</t>
  </si>
  <si>
    <t>As part of my doctoral research I am using mixed effects models (random and fixed effects) specifically a multilevel Mixed Effects Generalised Linear Modelling (MEGLM) and Zero-Inflated Poisson (ZIP) and Negative Binomial Models (ZINB). The main reason of for using MEGLM for example was the way my source data is organized. I am working on the determinants of COVID-19 mortality using evidence from routine surveillance data from the Ghana Health Service. Ghana’s Integrated Disease Surveillance and Response (IDSR) system employs a hierarchical data reporting structure, whereby case-based surveillance data flows from health facilities to sub-districts, districts, regions, and ultimately the national level. This system aggregates data from various tiers of the health system, offering a valuable opportunity for hierarchical multivariate analysis. Multilevel models, particularly Mixed Effects Generalized Linear Models (MEGLM) are well-suited for such data, as they account for both fixed and random effects, providing a more refined analysis of how predictors can influence outcomes such as COVID-19 mortalities across varying data strata My model for the MEGLM for example uses COVID-19 outcomes as dependent (dead or alive) and Age, Sex, Comorbidity Score as fixed effect predictors. Subsequently random parameters like the region of residence of case (level 1) and district of residence of case (level 2) were used to define the hierarchies for the MEGLM</t>
  </si>
  <si>
    <t>My main motivation for infectious disease modelling is defined by my interest in disease surveillance which is my technical area. I believe surveillance data is one of the main resources that is useful in detecting likely case surges which subsequently result in disease outbreaks. Forecasting health emergencies using surveillance data is key and helps in building better strategies for pandemic preparedness. Again, because I work at a national office I get the opportunity to access a broad range of disease surveillance data and my interest in working with numbers drives me to conduct some exploratory analysis from time to time which has led me to modelling of disease of epidemic potential. I also intend to carve a niche in epidemic disease research, specifically regarding building models to predict disease outcomes, this thus serves as a motivation to enhance my knowledge base on modelling of infectious diseases</t>
  </si>
  <si>
    <t>My future aspirations are centered on working on predicting health emergencies as part of the current drive by health systems on pandemic preparedness. I believe partaking in this course will better my skills in statistical modelling and prepare to apply various modelling techniques in the field of epidemics. As the national COVID-19 desk officer in my institution, I also intend to train my work colleague desk officers on the knowledge I obtain from this workshop to also build their capacity so we work together  to build better surveillance systems for Ghana.</t>
  </si>
  <si>
    <t>https://drive.google.com/open?id=18gLzH-dsMzElK9lbbjq_QWpzY8qx53sV</t>
  </si>
  <si>
    <t>https://drive.google.com/open?id=1Ns7TeXFEr79C2EFLoBTMxsKf_hCXv-Td</t>
  </si>
  <si>
    <t>https://drive.google.com/open?id=1VNA5gVvQAL6lDLN_Z0bTYTdn4MJDJrI_</t>
  </si>
  <si>
    <t>gideon kwarteng acheampong</t>
  </si>
  <si>
    <t>21/05/2025 11:40:13</t>
  </si>
  <si>
    <t>Acquah-Keelson</t>
  </si>
  <si>
    <t xml:space="preserve">Amanquador </t>
  </si>
  <si>
    <t>Paa Kwesi</t>
  </si>
  <si>
    <t>acquahkeelsona1@gmail.com</t>
  </si>
  <si>
    <t>+233 50 860 6159</t>
  </si>
  <si>
    <t xml:space="preserve">Biomedical scientist </t>
  </si>
  <si>
    <t xml:space="preserve">I have experience using R for data analysis in epidemiological research. I completed a course in Data Science Applications in Public Health, which honed my skills in R. I primarily work in RStudio, where I manage, clean, and analyze datasets using packages such as tidyverse, ggplot2, and dplyr. 
I am currently in the process of designing a study that will analyze cases of multidrug-resistant tuberculosis (TB) across Ghana. This research will involve the use of R for geospatial visualization and statistical modelling, although I have not yet conducted advanced spatial modelling. In addition to R, I am proficient with Linux command-line tools, which I use for data management, building workflows, preparing sequencing data for downstream analysis among others. While I am still learning the use of the Python language, I am building my skills to integrate bioinformatics pipelines into my epidemiological workflow. My programming foundation continues to support my goal of conducting robust, reproducible analysis in public health research.
</t>
  </si>
  <si>
    <t xml:space="preserve">One significant quantitative concept I have applied is logistic regression. I employed it during a data science project to model the probability of diabetes among adults, based on socio-demographic and clinical variables from the NHANES dataset. This analytical technique was particularly suitable for the binary nature of the outcome variable, which was whether a participant was diagnosed with diabetes or not.
Using R, I fitted a multivariate logistic regression model incorporating predictors such as age, gender, BMI, physical activity, education level, and income. The model estimated the adjusted odds ratios for each variable, allowing me to interpret the strength and direction of their associations with diabetes risk.
This application of logistic regression deepened my understanding of model diagnostics and variable selection, demonstrating how quantitative methods can support public health decision-making. Through model validation, I assessed predictive performance using metrics like AIC and pseudo R-squared, and generated plots to visualise the marginal effects of key variables.
These skills are directly relevant to my upcoming PhD research on multidrug-resistant tuberculosis, focusing particularly on rifampicin and isoniazid mutations in Ghana. The conceptual and practical knowledge gained from this earlier work equips me to handle similar analytical challenges in infectious disease epidemiology.
The skills I possess and my objectives are in direct alignment with the focus of the GWAC course, specifically regarding disease modelling in African contexts. My proficiency in R, along with my practical experience in model development and effective communication with stakeholders, enables me to make meaningful contributions to the G-WAC MPR Network. By utilising quantitative methods in infectious disease epidemiology, I aim to produce high-quality modelling evidence that can enhance pandemic preparedness and manage endemic diseases in sub-Saharan Africa, which is a central goal of this training programme.
</t>
  </si>
  <si>
    <t xml:space="preserve">As a biomedical scientist working in tuberculosis diagnostics, I am constantly exposed to the alarming rise in cases of multidrug-resistant TB and pre-extensively drug-resistant TB. Each resistant case identified in the lab underscores the urgent need for proactive, data-driven solutions. This reality has motivated my interest in infectious disease modelling as a strategic tool to inform public and global health responses.
Infectious disease modelling enables the simulation of transmission dynamics, the predict future outbreaks, and the assessment of the potential impact of interventions, along with capabilities that are particularly vital in settings with limited resources. My training in data science for public health has equipped me with the skills to translate complex epidemiological and laboratory data into meaningful insights that can guide policy and intervention planning.
I am especially motivated by the possibilities of modelling to combat the spread of MDR-TB in high-burden areas. By incorporating genomic, demographic, and spatial data, these models can pinpoint transmission hotspots and aid in early containment efforts. My aim is to utilize these techniques not just to enhance national TB surveillance systems but also to support global initiatives to mitigate the increase of drug-resistant infectious diseases.
</t>
  </si>
  <si>
    <t xml:space="preserve">I am eager to participate in this course because it offers a unique opportunity to deepen my expertise in infectious disease modelling and apply advanced quantitative methods to real-world public health challenges. As a biomedical scientist and PhD candidate researching multidrug-resistant tuberculosis (MDR-TB) in Ghana, my work sits at the intersection of laboratory diagnostics, spatial epidemiology and disease control. This course perfectly aligns with my goal of developing robust, data-driven models that can inform surveillance strategies and guide targeted interventions and resource allocation.
The course will equip me with the latest tools and techniques for modelling disease dynamics, including parameter estimation, simulation and policy impact analysis which I intend to apply to my current research on the genomic and spatial spread of MDR-TB. Beyond my PhD, I aim to contribute to national and global efforts through a career in public health research and policy in infectious epidemiology. By participating in this course, I hope to strengthen my ability to translate complex data into actionable insights that support evidence-based decision-making. Ultimately, this training will enhance my capacity to bridge the gap between biomedical research and public health impact, especially in high-burden, low-resource contexts.
</t>
  </si>
  <si>
    <t>https://drive.google.com/open?id=1e36O1qS4lp9r1bqCqyQLdxIYrp8NpiwN</t>
  </si>
  <si>
    <t>https://drive.google.com/open?id=1efP1oyDoPAZE5v8DaRc4mHzsgtsYMYRQ</t>
  </si>
  <si>
    <t>https://drive.google.com/open?id=1nS_6PTMyJPq72rS8Hperz-REC6cihavM</t>
  </si>
  <si>
    <t>amanquador acquah-keelson</t>
  </si>
  <si>
    <t>21/05/2025 17:07:13</t>
  </si>
  <si>
    <t xml:space="preserve">Munkaila </t>
  </si>
  <si>
    <t xml:space="preserve">Salamatu </t>
  </si>
  <si>
    <t>Kasi</t>
  </si>
  <si>
    <t>munkailasalamatu04@gmail.com</t>
  </si>
  <si>
    <t>0559629616</t>
  </si>
  <si>
    <t xml:space="preserve">Kwame Nkrumah University of Science and Technology </t>
  </si>
  <si>
    <t>As an MPhil Field Epidemiology and Applied Biostatistics student, I have gained practical experience using R and STATA for data analysis. One highlight was working on the 2022 Demographic and Health Survey Data to assess correlates of anaemia among pregnant women in Ghana.
In STATA, I cleaned the data by checking for missing points and completeness, performed descriptive statistics, and performed a regression analysis. Binary and multivariable logistic regression were used to determine factors associated with anaemia in pregnant women to guide targeted interventions. Working with these programming tools has enhanced my capacity to manage bulk data and modelling techniques to address public health issues.</t>
  </si>
  <si>
    <t>I extensively applied regression analysis, particularly logistic regression, to understand relationships between variables. Regression helps estimate how an independent variable influences a dependent outcome, controlling for other factors.
Currently, I am working on a project, “Resistant Patterns of Typhoidal Salmonella Typhi at the Agogo Community in the Asante Akim North Municipal in Ghana. I am using binomial logistic and multivariable logistic regression to model the odds of resistance based on independent variables such as age, sex, occupation, education level, and previous antibiotic use.
By applying this model, I can determine how each independent variable is significantly associated with the dependent variable while controlling for other variables. (Odds Ratio: 2.5, 95% CI: 1.5-4.1). 
This model will help inform recommendations to enhance antibiotic stewardship programs. This experience deepened my appreciation of the role of quantitative methods in epidemiological investigations and improved my capacity to draw evidence-based conclusions.</t>
  </si>
  <si>
    <t>My interest in infectious disease modelling stems from a desire to bridge laboratory diagnostics with data-driven public health interventions. As a medical laboratory scientist, I have spent years diagnosing diseases through clinical testing and witnessing how delays in detection or lack of predictive systems can lead to uncontrolled outbreaks.
My pursuit of an MPhil in Epidemiology has expanded my perspective, equipping me with analytical tools to interpret disease patterns, assess risks, and project future scenarios through modelling. 
Infectious disease modelling offers a powerful way to simulate outbreaks, evaluate intervention strategies, and guide public and global health decision-making. 
Its applications, from predicting the spread of diseases like COVID-19 to optimising vaccine distribution, have never been more critical. 
I am particularly motivated by its potential to inform policy, allocate resources efficiently, and prevent avoidable deaths, especially in low-resource settings. By combining my clinical experience with epidemiological modelling skills, I aim to contribute to early detection systems and targeted responses that can interrupt transmission chains, lessen disease burden, and enhance global health security.</t>
  </si>
  <si>
    <t>I want to participate in this course to build practical skills in disease modelling that complement my background as a medical laboratory scientist and my current graduate studies in field epidemiology and applied biostatistics. My work in infectious disease diagnostics and academic exposure to surveillance and data analysis have sparked a strong interest in how models are used to understand disease dynamics and guide public health decisions. 
This course aligns directly with my goal of pursuing a PhD in infectious disease epidemiology. It will provide essential tools to simulate disease transmission, assess intervention strategies, and translate data into evidence-based action.
I am particularly interested in how modelling informs outbreak preparedness, especially for emerging threats and antimicrobial resistance, areas I hope to contribute to through future research. 
By bridging theory with applied skills, this training will enhance my ability to contribute to disease control efforts both locally and globally. It represents a key step in my development as an epidemiologist capable of addressing public health challenges.</t>
  </si>
  <si>
    <t>https://drive.google.com/open?id=1cf9CGwrxo4Jv8OXnVSSl7vPxuel6CgWk</t>
  </si>
  <si>
    <t>https://drive.google.com/open?id=1H3IbgTW3nX9yKvNYYQmrfHqz-6RspmQl</t>
  </si>
  <si>
    <t>https://drive.google.com/open?id=1POFTG12Uu5Roig49tKw6Ug878TyEZg0n</t>
  </si>
  <si>
    <t>salamatu munkaila</t>
  </si>
  <si>
    <t>21/05/2025 20:32:08</t>
  </si>
  <si>
    <t xml:space="preserve">Dlamini </t>
  </si>
  <si>
    <t xml:space="preserve">Thandiwe </t>
  </si>
  <si>
    <t xml:space="preserve">Siphesihle </t>
  </si>
  <si>
    <t>thandiwesiphesihle@gmail.com</t>
  </si>
  <si>
    <t>+268 76612557</t>
  </si>
  <si>
    <t xml:space="preserve">Government </t>
  </si>
  <si>
    <t xml:space="preserve">Teacher </t>
  </si>
  <si>
    <t>During my Master’s in Mathematical Sciences, I gained significant experience using Python for data analysis and mathematical modelling. I applied Python’s scientific libraries—such as NumPy, SciPy, and Matplotlib—to build and simulate classical compartmental models like SIR, SIS, and SIRS. In one project, I implemented the SIR model to study how variations in transmission and recovery rates affected the dynamics of disease spread. I used Jupyter Notebooks to document the code, visualize results, and interpret trends in infection and recovery curves.
In a more advanced project, I incorporated network-based structures using NetworkX to simulate how the topology of a contact network influences the transmission of infectious diseases. This approach revealed how highly connected individuals could accelerate outbreaks, highlighting the value of targeted interventions. These projects enhanced my computational and analytical skills and deepened my understanding of the real-world applications of mathematical modelling. Python’s flexibility made it an ideal tool for translating theoretical models into practical simulations.</t>
  </si>
  <si>
    <t>One key quantitative concept I have used is the basic reproduction number (R₀) in infectious disease modelling. R₀ quantifies the expected number of secondary infections caused by a single infected individual in a completely susceptible population. It is central to understanding whether an infectious disease is likely to spread or die out.
In my Master’s studies, I explored R₀ within the context of SIR and SIS models. Using Python, I simulated disease dynamics under different combinations of transmission (β) and recovery (γ) rates, calculating R₀ as β/γ. This simple ratio offered valuable insight into threshold conditions for outbreaks. When R₀ &gt; 1, the model predicted sustained transmission; when R₀ &lt; 1, the disease eventually faded. This concept allowed me to test hypothetical public health interventions, such as reducing β through social distancing or increasing γ through medical treatment, and assess their effectiveness.
In another project, I integrated network structures into my simulations using the NetworkX library. I found that in heterogeneous networks—especially scale-free ones—epidemics could persist even when the average R₀ was near or slightly below 1, due to the presence of highly connected nodes. This showed how structural characteristics of populations could influence disease dynamics beyond basic parameters.
Understanding R₀ helped me interpret model outputs more critically and made it clear that mathematical models can support data-driven decisions in public health policy and outbreak response.</t>
  </si>
  <si>
    <t>My interest in infectious disease modelling is driven by a passion for using mathematics to address pressing real-world problems, particularly in public health. The COVID-19 pandemic underscored the vital role of mathematical models in informing decisions about disease control, intervention timing, and healthcare planning. During my Master’s degree, I explored models such as SIR, SIS, and SIRS in Python, and I became fascinated by how differential equations could be used to represent and predict epidemic outcomes.
I was especially intrigued by network-based models, which demonstrated how social interactions and contact structures influence the spread of disease. These models highlighted the importance of targeted interventions and equity in public health strategies.
This field excites me because it combines analytical thinking with a strong social impact. Infectious disease modelling is not only intellectually stimulating but also essential for guiding real-time decisions that protect communities. It aligns with my desire to contribute to global health efforts through research, innovation, and evidence-based policy.</t>
  </si>
  <si>
    <t>I am eager to join this course to strengthen my technical skills in infectious disease modelling and deepen my understanding of its application in public and global health. While my Master’s program provided a solid foundation, I am particularly interested in learning about model calibration, sensitivity analysis, and real-world applications involving health data.
This course will offer exposure to current challenges and methodologies in epidemiological modelling, complementing my academic background and enhancing my practical abilities. I believe it will also provide valuable opportunities for interdisciplinary collaboration and feedback from experts in the field.
In the long term, I aspire to work in applied mathematical modelling or epidemiological research, contributing to public health strategies at national or global levels. This course represents a critical step in that journey, equipping me with advanced skills and real-world perspectives necessary to support evidence-based policy and disease prevention strategies.</t>
  </si>
  <si>
    <t>https://drive.google.com/open?id=1-mDUTmGhdphhek_-IyC_WyongZiuxebX</t>
  </si>
  <si>
    <t>https://drive.google.com/open?id=1AfQ_OH7jT5JuH2Fm7C57kyzv-wCCNH8Y</t>
  </si>
  <si>
    <t>https://drive.google.com/open?id=1R7AEpizJOWYoDGRVST3gaQDALYKVnm0Z</t>
  </si>
  <si>
    <t>thandiwe dlamini</t>
  </si>
  <si>
    <t>22/05/2025 09:32:16</t>
  </si>
  <si>
    <t>Osman</t>
  </si>
  <si>
    <t>Aamir Muse</t>
  </si>
  <si>
    <t>aamirmuse@gmail.com</t>
  </si>
  <si>
    <t>+252615031635</t>
  </si>
  <si>
    <t>Ministry of Health and Human Services, Somalia</t>
  </si>
  <si>
    <t xml:space="preserve">I have built solid foundational skills in Python and R through hands-on application in public health research. For example, during my work on zoonotic disease surveillance in Somalia, I used Python to efficiently analyze large livestock health datasets, identifying key trends in disease prevalence across regions. My ability to process and interpret this data provided valuable insights for outbreak monitoring.
In R, I created clear, informative visualizations to map disease patterns, which helped communicate risks effectively to policymakers. A practical example of my problem-solving skills was when I automated a time-consuming data-entry process for a Rift valley virus study by developing a Python script that merged and standardized multiple Excel files - this innovation saved our team significant time while improving data accuracy.
What makes me particularly suited for this course is my combination of technical aptitude and real-world One Health experience. I've already applied these programming tools to support evidence-based decisions in resource-limited settings, and I'm excited to build on this foundation through G-WAC's comprehensive modeling training. My strong quantitative intuition and proven ability to quickly master new technical skills will allow me to succeed in this program and immediately apply what I learn to strengthen pandemic preparedness in Africa.
</t>
  </si>
  <si>
    <t xml:space="preserve">During my work as a One Health Coordinator at the Somali Ministry of Health, I supported outbreak response efforts for zoonotic diseases, where logistic regression played a central role in guiding public health interventions. One notable instance was during the response to Rift Valley Fever (RVF) alerts in pastoralist communities, where our team collected surveillance data to identify risk factors associated with animal and human exposures.
We used logistic regression to analyze the association between RVF seropositivity in livestock and variables such as animal species, age, grazing practices, proximity to wetlands, and timing of vector (mosquito) emergence. The results helped us estimate odds ratios and identify high-risk zones for targeted control measures. This analysis directly influenced decisions on resource allocation, field team deployment, and community sensitization.
Furthermore, we applied logistic models in assessing community knowledge and practices using KAP surveys on zoonoses and food safety. The findings helped us identify gaps in awareness and prioritize specific behavioral interventions—such as improving animal handling during slaughter or using protective gear during outbreaks.
These experiences underscored how quantitative tools like regression modelling are not just academic but practical instruments for real-time decision-making in fragile settings. The ability to generate and interpret such evidence was essential in designing risk-based response strategies, particularly where resources were limited and action had to be swift. I look forward to deepening these skills through structured training in disease modelling and applying them to future health emergencies across Africa.
</t>
  </si>
  <si>
    <t xml:space="preserve">My motivation for infectious disease modelling stems from my frontline experience responding to zoonotic outbreaks in Somalia, where real-time data often falls short of informing rapid, evidence-based decisions. As a One Health Coordinator and researcher, I have witnessed firsthand how the absence of localized modelling capacity can hinder early detection, delay response, and amplify public health impact particularly in fragile and resource-limited settings.
The urgency of outbreaks, coupled with the complexity of animal-human-environment interactions, has underscored the need for predictive tools that can guide policy, optimize resource allocation, and anticipate disease dynamics. I see modelling not only as a scientific tool but as a bridge between data and action capable of transforming surveillance findings into life-saving interventions.
I am especially drawn to its potential in strengthening health systems resilience, informing pandemic preparedness, and fostering cross-sectoral coordination. My aspiration is to contribute to building Africa’s modelling capacity to ensure that public health decisions are informed by context-relevant, timely, and accurate evidence.
</t>
  </si>
  <si>
    <t xml:space="preserve">I am eager to participate in this course to strengthen my technical capacity in infectious disease modelling, a skillset increasingly essential for evidence-based public health action particularly in fragile and low-resource settings like Somalia. As a One Health Coordinator and PhD researcher working on vector-borne disease dynamics, I have led outbreak response and surveillance efforts for zoonotic diseases, where timely analysis is critical but often hampered by limited local modelling expertise.
This course directly aligns with my goal of becoming a regional expert in outbreak forecasting and preparedness. I aim to apply the skills gained to support national institutions and cross-border health coordination efforts in the Horn of Africa, enhancing early warning systems, and guiding strategic interventions. In the long term, I plan to contribute to the development of sustainable modelling units within public health institutions and train others through academic and policy channels.
By bridging epidemiology with modelling, I hope to drive forward data-informed decision-making that protects communities and supports the broader vision of resilient, equitable health systems in Africa.
</t>
  </si>
  <si>
    <t>https://drive.google.com/open?id=1ZpVBodUkOwtI9oIdY_eA1sm9ckpxLmw8</t>
  </si>
  <si>
    <t>https://drive.google.com/open?id=1sXbcID6aetHNDAe2-pHsAvAEH72teG7L</t>
  </si>
  <si>
    <t>https://drive.google.com/open?id=1NFukGrWGhtbCsBfXLNH4BkNq0zrc90rt</t>
  </si>
  <si>
    <t>aamir muse osman</t>
  </si>
  <si>
    <t>aamir osman  - aamir muse osman</t>
  </si>
  <si>
    <t>22/05/2025 12:08:51</t>
  </si>
  <si>
    <t>Abebe</t>
  </si>
  <si>
    <t>Damtie</t>
  </si>
  <si>
    <t>damtie27@gmail.com</t>
  </si>
  <si>
    <t>+251913732068</t>
  </si>
  <si>
    <t>Amhara Public Health Institute</t>
  </si>
  <si>
    <t>Malaria and other vector-borne disease prevention and control program coordinator</t>
  </si>
  <si>
    <t xml:space="preserve">I have a six years work experience in Regional surveillance data analysis,  malaria epidemic preparedness and response activities. I have also two years work experience in regional COVID-19 pandemic daily surveillance data collection and  and analysis.    </t>
  </si>
  <si>
    <t xml:space="preserve">I have an experience in SPSS for research data analysis with binary and multiple logistic regression. I am also familiar in Mapping software ( ARC GIS),  Power BI , Epi info, Open data collection tool (ODK). </t>
  </si>
  <si>
    <t xml:space="preserve">I have a strong interest in serving and protecting communities, especially vulnerable populations. it drives me to engage in modeling efforts. I am interested in public health modeling in related to infectious disease, which will solve gaps in disease prevention and control with immediate response. I am also interested in disease modeling to reduce morbidity and mortality rates. </t>
  </si>
  <si>
    <t xml:space="preserve">To understand disease dynamics, this training is very important. It helps me to understand how infectious diseases spread, including factors like transmission rates, incubation periods, and the impact of interventions. It is also very important for predicting potential outbreaks to utilize resources effectively and to protect the most vulnerable populations. It can help to develop robust pandemic preparedness plans that include response protocols, communication strategies, and logistical considerations.
To increase public communications via modeling tools, this training is very essential. To encourage ongoing research and development of new modeling techniques and technologies, which can improve future responses to pandemics. To foster collaboration among researchers and institutions, allowing for the sharing of data and best practices that enhance collective pandemic response efforts. This course will align with my field of study, specifically malaria epidemic forecasting and prediction. 
</t>
  </si>
  <si>
    <t>https://drive.google.com/open?id=19V0dHCnIKCR_v7sZv73k54sC88Etq7xX</t>
  </si>
  <si>
    <t>https://drive.google.com/open?id=1TXrWEhXlH1dBjo9ykPUCxCtvScRl7ke_</t>
  </si>
  <si>
    <t>I will follow the link</t>
  </si>
  <si>
    <t>If possible I will submit the abstract to the conference</t>
  </si>
  <si>
    <t>https://drive.google.com/open?id=1ECkS5e5x4qAMM9rZPTUjd1c0Qgl4SDD1</t>
  </si>
  <si>
    <t>damtie abebe</t>
  </si>
  <si>
    <t>23/05/2025 12:02:34</t>
  </si>
  <si>
    <t xml:space="preserve">Owusu </t>
  </si>
  <si>
    <t xml:space="preserve">Damtse </t>
  </si>
  <si>
    <t>damte45@yahoo.com</t>
  </si>
  <si>
    <t>+233597067286</t>
  </si>
  <si>
    <t xml:space="preserve">Ghana health service </t>
  </si>
  <si>
    <t xml:space="preserve">Nursing </t>
  </si>
  <si>
    <t>During my academic and research work, I have extensively used excel for data analysis and modeling. One notable instance was a project analyzing maternal health records to identify predictors of antenatal care (ANC) adherence.
Using epi info  I cleaned and structured raw data from health facilities, handling missing values and inconsistent entries. NumPy facilitated numerical computations, while Matplotlib and Seaborn helped visualize patterns such as appointment attendance trends across age groups and socioeconomic backgrounds. I employed logistic regression from Scikit-learn to model the likelihood of ANC adherence based on variables like education level, income, and parity.
The analysis revealed that women with secondary education or higher were significantly more likely to attend ANC sessions regularly. These findings informed targeted recommendations to improve maternal health outreach in underserved communities. This experience strengthened my ability to translate data into actionable insights using programming tools.</t>
  </si>
  <si>
    <t>One key quantitative concept I have applied in my work is logistic regression, which is widely used for modeling binary outcomes. I employed this technique during a study that investigated factors influencing antenatal care (ANC) adherence among pregnant women in a peri-urban area in Ghana.</t>
  </si>
  <si>
    <t xml:space="preserve">My interest in infectious disease modelling stems from its critical role in understanding, predicting, and controlling disease spread—an essential aspect of public and global health. Witnessing the impact of outbreaks like COVID-19 and Ebola highlighted how data-driven models can guide timely interventions, resource allocation, and policy decisions that save lives. This realization sparked my desire to contribute to solutions that bridge science and public health practice.
</t>
  </si>
  <si>
    <t>I am eager to participate in this course because it offers a unique opportunity to deepen my understanding of infectious disease modelling and its practical applications in public health. As someone with a background in health research, I am particularly drawn to how modelling can inform policy decisions, optimize resource allocation, and improve disease surveillance and control strategies—especially in low-resource settings.
This course aligns directly with my future goal of becoming a public health data scientist focused on infectious disease prevention and control in sub-Saharan Africa. I aim to work with health ministries, NGOs, and global organizations to design evidence-based interventions that address emerging and endemic diseases. Gaining advanced skills in modelling will empower me to contribute more effectively to outbreak response teams and long-term health planning.
Additionally, I value the interdisciplinary nature of this course, which bridges quantitative methods and real-world health challenges. It represents a crucial step in equipping me with the technical and analytical expertise needed to support data-driven public health strategies and promote health equity across diverse populations.</t>
  </si>
  <si>
    <t>https://drive.google.com/open?id=1vAjRTIf6i_t8yakwyLCkvnZUklY5E4GU</t>
  </si>
  <si>
    <t>https://drive.google.com/open?id=1eq3Jz9_yDWlnxwLFVqwBwe3dJmvRAd4D</t>
  </si>
  <si>
    <t>https://drive.google.com/open?id=1J41ZrGUPYPx9-otNc4Ogb5DBz90sN3dU</t>
  </si>
  <si>
    <t>owusu owusu</t>
  </si>
  <si>
    <t>23/05/2025 12:59:00</t>
  </si>
  <si>
    <t>AYIHOU</t>
  </si>
  <si>
    <t>Yannick</t>
  </si>
  <si>
    <t>Sèna</t>
  </si>
  <si>
    <t>yannickayihou@gmail.com</t>
  </si>
  <si>
    <t>+2290166880745</t>
  </si>
  <si>
    <t>Laboratoire de Biomathématiques et d'Estimations Forestières (LABEF)</t>
  </si>
  <si>
    <t>Data-Analyst, Epidemiologist, Research Assistant</t>
  </si>
  <si>
    <t>Throughout my academic and professional journey, I have acquired and developed strong experience in using R, MATLAB, and Python for data analysis and mathematical modelling, particularly in epidemiology and quantitative public health research. During my master’s thesis, recently published, I applied these tools to solve complex problems, especially those related to public health, including modelling the transmission dynamics of African Swine Fever in Benin. I used Python for data wrangling, cleaning large epidemiological datasets, and creating advanced visualizations. R served as a key tool for conducting in-depth statistical analyses, including regression modelling, hypothesis testing, and simulating disease progression scenarios. Additionally, I used MATLAB to analyze the compartmental model I developed, where I implemented differential equations to study the dynamics of disease transmission under various intervention scenarios. This multi-tool approach allowed me to validate results, ensuring robustness and accuracy in the insights generated.
In addition to my academic achievements, I have contributed to field interventions with NGOs, supporting farmers in improving animal health practices through data-informed strategies. These experiences reflect not only my technical skills but also my commitment to applying programming tools to solve real-world problems. I am eager to further strengthen these capabilities through advanced training in modelling.</t>
  </si>
  <si>
    <t>One quantitative concept I have explored in depth is the use of differential equations to model infectious disease dynamics. During my master’s thesis, I developed and analyzed a compartmental model for African Swine Fever (ASF) transmission in Benin. Using ordinary differential equations (ODEs), I structured the model to represent disease progression within pig populations, while also accounting for the free-living virus in the environment, a factor often overlooked in simpler models, which added important realism to the transmission process.
I began by validating the mathematical structure of the model—proving positivity, boundedness, and existence and uniqueness of solutions. Then, I calculated two key thresholds: the basic reproduction number (R₀) and the control reproduction number (R_c). These helped determine whether ASF would persist or be eradicated under different conditions. I found R₀ to be 2.78, indicating the disease would spread without interventions, while reducing R_c to 1.55 through targeted measures suggested a realistic path to control. Through sensitivity analysis, I identified the most influential parameters on R_c, guiding decision-making on where to focus control efforts. For example, increasing the burial or cremation rate of infected dead pigs was shown to reduce environmental contamination and transmission risk significantly. Another key contribution was incorporating presymptomatic, symptomatic, and asymptomatic carriers into the model. I assessed the impact of early detection and isolation, especially during the presymptomatic phase. Simulations showed that improving detection at this stage could greatly reduce transmission and alter outbreak trajectories.
This modelling work provided meaningful insights for ASF control strategies and illustrated how differential equations and quantitative methods can inform public health interventions. The experience deepened my interest in mathematical modelling and its practical applications in tackling complex epidemiological challenges.</t>
  </si>
  <si>
    <t>My interest in infectious disease modelling is deeply rooted in both my academic background and hands-on experiences in animal health and epidemiology. Holding a first-class Bachelor's in Animal Health and Production and a Master’s in Biostatistics, I developed strong expertise in data analysis, mathematical modelling, and disease dynamics. Working with veterinary services and research units such as URMAT in Benin, I witnessed how infectious diseases threaten animal health, food security, and public well-being, especially in low-resource settings.
These experiences revealed the urgent need for data-driven strategies to address complex health challenges. Motivated by this, I focused my graduate research on modelling the transmission dynamics of African Swine Fever in Benin. Through this work, I gained valuable insight into how mathematical tools can inform public health decisions, optimize control strategies, and prevent disease spread.
Moreover, the increasing frequency of diseases outbreaks, exacerbated by climate change, reinforces my commitment to infectious disease modelling as a tool for building more resilient health systems. I aspire to contribute to sustainable, science-based interventions, particularly in regions like West Africa. This motivation drives me to pursue further training and research that bridges modelling with real-world health impact.</t>
  </si>
  <si>
    <t>Participating in this modelling course represents a vital opportunity for me to strengthen my technical and practical skills in infectious disease modelling, particularly in the context of climate-sensitive diseases like African Animal Trypanosomiasis (AAT). With a solid foundation in animal health and biostatistics, and experience in modelling the transmission dynamics of African Swine Fever during my master's research, I am now eager to deepen my knowledge in advanced modelling techniques, real-time outbreak analysis, and the integration of environmental variables into disease models.
This course aligns perfectly with my long-term goal of becoming a regional expert in infectious disease modelling, contributing to data-driven public health interventions in West Africa. It will help me design better tools to predict, monitor, and mitigate disease spread, especially in vulnerable livestock systems. Furthermore, the collaborative and hands-on nature of the course will allow me to learn from experienced researchers and connect with a network of professionals across Africa.
Ultimately, this training will strengthen my capacity to support evidence-based policy development and contribute to improving animal and human health outcomes through applied modelling and research.</t>
  </si>
  <si>
    <t>https://drive.google.com/open?id=1FRdZA1sx6N-UNlMk7slBJnQs9MaeiW3e</t>
  </si>
  <si>
    <t>https://drive.google.com/open?id=1q8p0kq6--rLojGyukFHtlnBxIh_uYzlm</t>
  </si>
  <si>
    <t>I have applied already</t>
  </si>
  <si>
    <t>No, thanks. I'm still working on my paper.</t>
  </si>
  <si>
    <t>https://drive.google.com/open?id=1MjJ0yP-fyzpc3gNGxSNWDzar2E1iAKtS</t>
  </si>
  <si>
    <t>yannick ayihou</t>
  </si>
  <si>
    <t>s. yannick ayihou</t>
  </si>
  <si>
    <t>25/05/2025 06:15:34</t>
  </si>
  <si>
    <t>Swilla</t>
  </si>
  <si>
    <t>Gloria</t>
  </si>
  <si>
    <t>Essau</t>
  </si>
  <si>
    <t>glorianaessau@gmail.com</t>
  </si>
  <si>
    <t>+255 689 914 523</t>
  </si>
  <si>
    <t xml:space="preserve">One Health Society </t>
  </si>
  <si>
    <t>Medical Doctor</t>
  </si>
  <si>
    <t>During my work on digital mental health initiatives, I used R and Microsoft Excel for data analysis and visualization. Although I am not a professional programmer, I applied beginner level R skills to clean, analyze, and present data collected through mental health screening tools used in underserved Tanzanian communities. One key project involved developing an online mental health questionnaire (translated into Swahili) that screened for anxiety and depression among adolescents. After collecting responses, I used R to generate descriptive statistics and identify trends such as gender disparities in reported symptoms. These insights helped us tailor interventions, particularly by creating targeted awareness sessions for girls, who showed higher levels of distress.
Additionally, I used Excel’s statistical functions in health education programs, for example, calculating prevalence rates and measuring the impact of awareness campaigns. In one case, we assessed stress levels before and after a school based intervention, which showed measurable improvements. These experiences have deepened my understanding of how data can guide public health actions. They also sparked my interest in learning more advanced modelling techniques to inform decisions not just in mental health, but in managing infectious and endemic diseases more effectively within my community.</t>
  </si>
  <si>
    <t>A key quantitative concept I have applied in my work is regression analysis, particularly during a school based mental health outreach project aimed at underserved adolescents. As part of this initiative, we screened students for stress and depression using a validated tool and collected demographic variables such as age, gender, and school attendance patterns. Using Microsoft Excel and R, I conducted both logistic and linear regression analyses to examine the relationship between these factors and mental health outcomes.
The results revealed that female students were significantly more likely to report elevated levels of stress and depressive symptoms. Additionally, students with irregular school attendance showed higher stress scores, suggesting a link between psychosocial distress and academic disengagement. These findings were important in helping us reshape our intervention strategy. We introduced gender specific activities, partnered with girls’ clubs, and collaborated with teachers and school counselors to create support systems for students most at risk. This led to improved engagement and reduced stigma, particularly among adolescent girls.
This experience demonstrated the power of regression analysis in uncovering patterns that are not always visible through observation alone. It helped move our approach from generalized assumptions to data driven, targeted programming. I came to see regression not just as a statistical method, but as a practical tool for improving public health outcomes especially in resource limited settings, where strategic allocation of efforts can lead to greater impact. This approach has since shaped how I design, evaluate, and adapt public health interventions in both mental health and infectious disease contexts.</t>
  </si>
  <si>
    <t>My motivation originates from my experience with community health and the gaps I’ve seen in data driven planning, especially during the COVID-19 pandemic and in addressing neglected tropical diseases (NTDs). Working with youth on mental health and NTDs advocacy showed me that without reliable local modelling, it’s hard to prepare for outbreaks or address endemic diseases effectively.
I’ve often seen communities affected by outbreaks that could have been better managed with early warning models or predictive tools. Yet, in many areas, including where I work in Tanzania, there is limited capacity for such modelling. I believe modelling can bridge this gap by helping policymakers and frontline workers make better informed decisions, especially in a resource limited setting.
I’m especially interested in how modelling can be used in One Health approaches to understand and respond to zoonotic diseases and antimicrobial resistance, which affect both human and animal populations. This aligns closely with my work and advocacy, and I want to be part of building this capacity building program.</t>
  </si>
  <si>
    <t>I want to join this course to build practical skills in disease modelling that I can use to improve public health programs in Tanzania and the global south at large. I work at the intersection of mental health, infectious diseases, and digital health, and I’ve seen the need for stronger local capacity to anticipate and respond to disease outbreaks, especially among vulnerable groups like youth and women.
This course aligns perfectly with my goal of becoming a public health leader who uses data to inform community centered and gender sensitive health interventions. I am especially interested in how modelling can support pandemic preparedness under the One Health framework and guide targeted responses for neglected tropical diseases and antimicrobial resistance, both of which are major public health concerns in Tanzania.
Learning from experts and collaborating with peers will also help me strengthen regional networks and integrate modelling into the current ongoing initiatives in One Health Society like the Youth NTDs Fellowship. It will be a step forward in transforming evidence into action for better health outcomes.</t>
  </si>
  <si>
    <t>https://drive.google.com/open?id=16b8lugrZLhfRzNpl06x8SuktD5xJ_SkP</t>
  </si>
  <si>
    <t>https://drive.google.com/open?id=1_O-qYHi-i6c5Z05jBgqxDEGoUYADIj5j</t>
  </si>
  <si>
    <t>The link could not be assessed</t>
  </si>
  <si>
    <t>https://drive.google.com/open?id=17fSzRayoOndY98CmxB_xHSabToM6bYkc</t>
  </si>
  <si>
    <t>gloria swilla</t>
  </si>
  <si>
    <t>wac cv - gloria swilla</t>
  </si>
  <si>
    <t>25/05/2025 16:19:39</t>
  </si>
  <si>
    <t>Oulianovie</t>
  </si>
  <si>
    <t xml:space="preserve">GUESSOM KAMGUE </t>
  </si>
  <si>
    <t>Oulia</t>
  </si>
  <si>
    <t xml:space="preserve">guessom.kamgue@ubuea.cm </t>
  </si>
  <si>
    <t>+237 65 504 2104</t>
  </si>
  <si>
    <t xml:space="preserve">University of Buea </t>
  </si>
  <si>
    <t xml:space="preserve">Senior Lecturer/Researcher </t>
  </si>
  <si>
    <t>In fact, I'm still struggling to master all these told.</t>
  </si>
  <si>
    <t>I used to use softwares to analyse my results</t>
  </si>
  <si>
    <t>The fact that with modelling we can more prepare responses to pandemic deseases</t>
  </si>
  <si>
    <t>I would like to participate to this course to learn and master tools who are going to be teach and these skills will help me to appreciate my results wh3n I'll do trials.</t>
  </si>
  <si>
    <t>https://drive.google.com/open?id=1TKVy3fWUJ-7QUOLvlr6_1eUHQZa3N6fW</t>
  </si>
  <si>
    <t>https://drive.google.com/open?id=1RzngXgVRWdhWwhq0EI4YWKKyOK-1ir5a</t>
  </si>
  <si>
    <t>https://drive.google.com/open?id=1ppg0Okh0XlgqDlJ4ApNVpx5PzP-qZq6I</t>
  </si>
  <si>
    <t>guessom kamgue oulianovie</t>
  </si>
  <si>
    <t>26/05/2025 10:09:30</t>
  </si>
  <si>
    <t>Eniade</t>
  </si>
  <si>
    <t>Olanrewaju</t>
  </si>
  <si>
    <t>Davies</t>
  </si>
  <si>
    <t>eniadetreasure@gmail.com</t>
  </si>
  <si>
    <t>+2347030128187</t>
  </si>
  <si>
    <t>International Foundation Against Infectious Diseases in Nigeria</t>
  </si>
  <si>
    <t>Data Manager</t>
  </si>
  <si>
    <t>I have over five years of experience using programming languages such as R, Stata, SPSS, and Python for data analysis and modelling in public health and clinical research settings. My work involves developing predictive models, managing large health datasets, and applying machine learning techniques for disease risk stratification.
One significant example is my use of R and Stata to develop a predictive model assessing the likelihood of serious bacterial infections among hospitalized children under five. I applied survival analysis techniques combined with machine learning algorithms such as Random Forests and Gradient Boosting to identify key predictors of recovery time. This model integrated clinical symptoms, diagnostic data (e.g., blood culture results), and treatment history to estimate individual patient outcomes. 
Additionally, I use SQL and Power BI for database management and dynamic reporting. My programming skills support data cleaning, feature engineering, model validation, and visualization—ensuring rigorous and actionable insights for health programs and research studies. This experience has strengthened my capacity to apply computational tools to complex epidemiological questions and has prepared me well to contribute to disease modelling for pandemic preparedness.</t>
  </si>
  <si>
    <t>One key quantitative concept I frequently apply in my work is the Generalized Linear Model (GLM) framework, which extends linear regression to accommodate different types of response variables (e.g., binary, count, or continuous data with non-normal distributions). GLMs are essential tools in my role as a biostatistician and health data analyst, especially when building predictive models for clinical and epidemiological outcomes. For example, I used logistic regression, a type of GLM, to model the probability of serious bacterial infection (SBI) among hospitalized children under five years of age. The response variable was binary (SBI: yes/no), and the predictors included clinical symptoms, blood culture results, immunization status, prior antibiotic use, and demographic characteristics. The logistic model allowed me to estimate the odds ratios of each predictor, providing clear insights into the risk factors associated with SBI.
I have also used Poisson and negative binomial regression models—other variants of GLMs—to analyze count data, such as the number of infection episodes or days spent in the hospital. These models helped identify overdispersion in the data and improved model fit. In addition to classical GLMs, I often apply regularized models (e.g., Lasso and Ridge regression) for variable selection and model optimization when working with high-dimensional datasets. Using GLMs has enabled me to build robust, interpretable, and scalable predictive models that support evidence-based decision-making in health programs. These models have been instrumental in guiding policy recommendations and improving clinical outcomes by identifying high-risk patients early and efficiently.</t>
  </si>
  <si>
    <t>My interest in infectious disease modelling stems from a deep commitment to using data-driven approaches to solve pressing public health challenges. With a background in biostatistics and health data science, I have seen firsthand how timely, accurate models can inform interventions, allocate resources efficiently, and save lives—especially in low-resource settings. Working on projects involving serious bacterial infections, malaria, and tuberculosis, I realized the immense value of modelling in predicting outbreaks, understanding transmission dynamics, and evaluating the impact of public health interventions. These experiences reinforced my passion for applying predictive and mechanistic models to address complex epidemiological questions.
The COVID-19 pandemic further highlighted the critical role of modelling in pandemic preparedness and response, inspiring me to deepen my expertise in this field. I am particularly motivated to contribute to modelling efforts that bridge the gap between data science and policy—helping governments and health agencies make informed decisions. Participating in the G-WAC training will enhance my technical skills, expand my global health perspective, and enable me to contribute more meaningfully to infectious disease control and prevention efforts, both locally in Nigeria and globally.</t>
  </si>
  <si>
    <t>I am eager to participate in this course because it offers a unique opportunity to strengthen my technical and theoretical understanding of infectious disease modelling, with a focus on real-world applications in pandemic preparedness and response. As a health data scientist and biostatistician with experience supporting clinical and epidemiological research, I understand the growing importance of predictive models in guiding public health decisions—especially in low- and middle-income countries like Nigeria. The training aligns perfectly with my long-term goal of pursuing a PhD in Health Sciences with a specialization in Health Data Science, focusing on infectious disease modelling and surveillance. I am particularly interested in using machine learning and statistical models to understand disease dynamics and improve early warning systems for outbreaks.
By participating in this program, I aim to enhance my ability to build more accurate, context-specific models that can support evidence-based interventions and policies. I am also excited about the opportunity to collaborate with experts and peers from around the world, gaining new perspectives that will enrich my future research and professional contributions to global health security.</t>
  </si>
  <si>
    <t>https://drive.google.com/open?id=1uiQk4TfiZZWWxOXjkK_435QQWhToGRJg</t>
  </si>
  <si>
    <t>https://drive.google.com/open?id=1uhYthS3yjRfcuJkHFlilXQ6zhWWL7Fyv</t>
  </si>
  <si>
    <t>https://drive.google.com/open?id=1YWRwGEsVMnLB_eqQtNgujw2IAGTpq5S8</t>
  </si>
  <si>
    <t>olanrewaju eniade</t>
  </si>
  <si>
    <t>26/05/2025 12:13:44</t>
  </si>
  <si>
    <t>Makoko</t>
  </si>
  <si>
    <t>W.</t>
  </si>
  <si>
    <t>chiefmakoko@gmail.com</t>
  </si>
  <si>
    <t>+255784576921</t>
  </si>
  <si>
    <t>Jhpiego, A Johns Hopkins University Affiliate</t>
  </si>
  <si>
    <t>Public Health Statistician</t>
  </si>
  <si>
    <t>As a Public Health Statistician with a BSc in Applied Statistics and a Master of Public Health, I have over 10 years of experience in data analysis and modelling, particularly using R and Stata. My work involves applying statistical and epidemiological methods to inform public health decisions. One of the most impactful projects I led involved modelling reproductive health cancer data—specifically cervical and breast cancers—in a Tanzania. Using R, I performed logistic regression and survival analysis to assess risk factors, identify trends in late-stage diagnoses, and estimate survival probabilities. The findings were instrumental in informing targeted screening strategies and resource allocation in the region. I also used Stata for sensitivity analyses and data visualization to support stakeholder engagement. This experience strengthened my ability to work with real-world health data, communicate complex results to diverse audiences, and contribute to evidence-based interventions. I am confident that my programming and modelling skills, combined with my public health expertise, will allow me to actively contribute to and benefit from the G-WAC training course</t>
  </si>
  <si>
    <t>One key quantitative concept I frequently use in my work is logistic regression, a statistical method used for modelling binary outcome variables. In public health, logistic regression is particularly useful for identifying risk factors and predicting the probability of disease occurrence based on multiple predictors.
In one of my recent projects, I applied logistic regression using R to analyse reproductive health cancer data, specifically on cervical cancer. The objective was to identify socio-demographic and clinical factors associated with late-stage presentation among women diagnosed with cervical cancer. Independent variables included age, education level, residence (urban/rural), HIV status, and screening history. The outcome variable was the stage at diagnosis (early vs. late).
By fitting a multivariable logistic regression model, we were able to estimate adjusted odds ratios and determine the strength of association between each predictor and the likelihood of late-stage diagnosis. For example, women without prior screening had significantly higher odds of late-stage presentation, highlighting a critical gap in preventive services. This insight guided our recommendation to expand screening programs and target underserved populations.
Logistic regression not only helped quantify the impact of various factors but also enabled us to control for confounding, assess model fit, and validate assumptions. Communicating these results through visualizations such as forest plots and predictive probability curves made the findings more accessible to decision-makers and program implementers.
Overall, logistic regression has been a vital tool in my analytical work, providing actionable insights that support evidence-based interventions and policy development in public health settings.</t>
  </si>
  <si>
    <t>My interest in infectious disease modelling is driven by its critical role in informing timely, data-driven public health responses—particularly in low-resource settings. As a Public Health Statistician, I have seen firsthand how delayed or insufficient data interpretation can hinder outbreak control and resource allocation. The COVID-19 pandemic reinforced the importance of having locally relevant modelling capacity to predict disease spread, assess intervention impacts, and guide policy.
What excites me most is the potential of modelling to bridge the gap between complex epidemiological data and practical health decisions. I am especially interested in how models can be adapted to reflect the realities of sub-Saharan Africa, where data limitations and contextual factors are often overlooked in global models. My goal is to build expertise in infectious disease modelling to support evidence-based planning, not just for pandemics but also for managing endemic diseases like malaria and TB.
This course aligns perfectly with my aspirations to apply quantitative tools to improve health systems and preparedness in Africa. I am eager to deepen my understanding and contribute to strengthening the region’s modelling capacity for global health.</t>
  </si>
  <si>
    <t>I am eager to participate in this course because it offers a unique opportunity to strengthen my modelling skills in the context of infectious disease and pandemic preparedness—an area that is increasingly vital to public health practice in Africa. With over 10 years of experience as a Public Health Statistician, I have worked extensively with health data but recognize a pressing need to build advanced capacity in disease modelling that is both context-specific and policy-relevant.
The course's hands-on approach, coupled with its focus on low- and middle-income country settings, aligns perfectly with my goal of contributing to data-informed decision-making in Tanzania and the broader region. I aim to apply the knowledge gained to support national disease surveillance efforts, design targeted interventions, and build local capacity through mentoring and collaboration.
In the long term, I aspire to lead or support a research and data science unit focused on health systems strengthening through modelling and analytics. Participating in this course will be a key step in realizing that vision and in promoting resilient, evidence-driven public health systems in Africa.</t>
  </si>
  <si>
    <t>https://drive.google.com/open?id=1sEHw0bShndJO9uhXufMHCEU9yblkX1SC</t>
  </si>
  <si>
    <t>https://drive.google.com/open?id=1bwkt3zdV8pKCCNHSxvRucNEu6tnRR4wx</t>
  </si>
  <si>
    <t>https://drive.google.com/open?id=1ghZDPtls3suWlsvdZsfZ_euNyxBLDY--</t>
  </si>
  <si>
    <t>26/05/2025 14:08:57</t>
  </si>
  <si>
    <t>Mothosola</t>
  </si>
  <si>
    <t>Rethabile</t>
  </si>
  <si>
    <t xml:space="preserve">Whitney </t>
  </si>
  <si>
    <t>rwmothosola@gmail.com</t>
  </si>
  <si>
    <t>+27611550197</t>
  </si>
  <si>
    <t>South African Field Epidemiology Training Program</t>
  </si>
  <si>
    <t>Field Epidemiologist</t>
  </si>
  <si>
    <t>I have hands-on experience using Stata for data analysis, particularly in epidemiological research. While analyzing melanoma incidence among people living with HIV in South Africa, I used Stata to fit the Royston-Parmar flexible parametric survival model. This allowed for modelling non-proportional hazards and estimating risk factors more accurately than standard Cox models, enabling a better fit for complex survival data and the identification of risk factors across demographic and geographic groups.
In my melanoma incidence trends in South Africa, I used Joinpoint regression to assess trends in melanoma incidence over time and detect statistically significant changes in those trends. This method provided insight into shifts in disease burden and helped inform temporal patterns for targeted intervention. In another project, I used STATA to analyze data from a food poisoning outbreak investigation. I generated epidemic curves, performed descriptive statistics, and used data visualization packages to communicate findings to stakeholders.
These tools have strengthened my ability to handle complex datasets, apply advanced statistical models, and generate insights that inform public health decision-making and targeted interventions.</t>
  </si>
  <si>
    <t>One key quantitative concept I have applied in my work is survival analysis, particularly through the use of the Royston-Parmar flexible parametric survival model. Unlike traditional Cox proportional hazards models, which assume constant hazard ratios over time, the Royston-Parmar model allows for more flexibility by modelling the baseline hazard function with restricted cubic splines. This flexibility is especially valuable in public health studies where the proportional hazards assumption may not hold across all covariates.
In my study on melanoma incidence among people living with HIV in South Africa, I used this method to estimate time-to-event outcomes and examine how risk factors such as sex, latitude, varied over time. The model enabled me to include time-varying covariates, specifically calendar period (diagnosing year), to capture changes in survival risk due to evolving treatment protocols or health system improvements. It also allowed for better visualisation of the hazard and survival functions, improving interpretation for non-technical stakeholders.
This analytical approach informed key findings in the study: for example, it highlighted differences in melanoma risk patterns across demographic groups and identified periods where interventions might have influenced survival outcomes. These insights are crucial for developing targeted recommendations for melanoma prevention and early detection strategies within HIV care programs.
Using this quantitative method deepened my understanding of the dynamic nature of risk over time and underscored the importance of selecting models that align with real-world complexities. It also reinforced the value of robust model checking and sensitivity analyses in producing credible, policy-relevant evidence in epidemiology and environmental health.</t>
  </si>
  <si>
    <t>My interest in infectious disease modelling is driven by its critical role in anticipating, preventing, and controlling outbreaks, particularly in resource-limited settings. With a background in environmental health and field epidemiology, I’ve seen firsthand how timely, data-driven interventions can curb disease spread and save lives. Modelling provides a powerful lens to simulate transmission dynamics, forecast epidemic curves, and evaluate the potential impact of interventions before they are implemented.
This interest deepened during my involvement in outbreak investigations and large-scale surveillance projects, where I recognised the gap between available data and the need for predictive insights. Infectious disease models help bridge this gap by informing evidence-based policy, optimising resource allocation, and strengthening health system preparedness.
In the context of global health, modelling plays an essential role in preparing for pandemics, guiding vaccination strategies, and addressing inequalities in health outcomes. I am particularly motivated by its potential to integrate environmental, social, and biological data to uncover patterns and drive sustainable public health responses, especially in underrepresented and vulnerable populations. Through this work, I aim to contribute to more resilient and responsive health systems, both locally and globally.</t>
  </si>
  <si>
    <t>I want to participate in this course to deepen my expertise in infectious disease modelling and enhance my ability to apply quantitative methods to real-world public health challenges. Building on my background in environmental health and field epidemiology, this course offers an opportunity to strengthen my technical skills in modelling, data interpretation, and scenario analysis, which are essential for effective disease surveillance and outbreak response.
This training aligns directly with my future goals of contributing to health system strengthening and evidence-based policy development, particularly in low- and middle-income settings. I aim to leverage advanced modelling techniques to improve predictive capacity for infectious diseases and support timely, targeted interventions that reduce disease burden.
Moreover, this course will expand my professional network and expose me to global best practices and innovative tools, enhancing my ability to collaborate across disciplines and sectors. Ultimately, it will equip me to take on leadership roles in public health programs focused on disease prevention, environmental health risks, and pandemic preparedness, advancing both my career and impact on population health.</t>
  </si>
  <si>
    <t>https://drive.google.com/open?id=1xCvkIMIuEpWGbYcfMZiuZlvV9slwqJoi</t>
  </si>
  <si>
    <t>https://drive.google.com/open?id=1vX4UQFK9zW2RDeTPdLnAXYijo-PmXi1h</t>
  </si>
  <si>
    <t>https://drive.google.com/open?id=1vZFzvBtVhB25lFIR00lxPKgKDzVZDSyh</t>
  </si>
  <si>
    <t>rethabile mothosola</t>
  </si>
  <si>
    <t>26/05/2025 14:14:40</t>
  </si>
  <si>
    <t>Fredy Brice</t>
  </si>
  <si>
    <t>Simo Nemg</t>
  </si>
  <si>
    <t>Dr</t>
  </si>
  <si>
    <t>nemgsi@yahoo.fr</t>
  </si>
  <si>
    <t>+237699179605</t>
  </si>
  <si>
    <t>Centre for Research in Infectious Diseases</t>
  </si>
  <si>
    <t>Postdoctoral Associate</t>
  </si>
  <si>
    <t>I have applied programming extensively in data analysis, particularly using R and Linux. With a strong foundation in quantitative methods, he has leveraged libraries such as tidyverse and ggplot2 in R, to clean, analyze, and visualize complex genomics datasets. I have used R to preprocess epidemiological and environmental data, then applied a logistic regression model to identify key predictors of arbovirus incidence, such as rainfall patterns and proximity to stagnant water sources.</t>
  </si>
  <si>
    <t xml:space="preserve">One key quantitative concept I have applied in my work is logistic regression, a statistical method used for modelling binary outcomes. I used this technique during a project that aimed to identify risk factors associated with the likelihood of hospital readmission among patients with chronic conditions. I first cleaned and structured the dataset, which included variables such as age, comorbidities, length of hospital stay, and medication adherence. I then applied logistic regression to model the probability of readmission within 30 days of discharge. The logistic regression model allowed me to estimate the odds ratios for each predictor, helping to quantify the strength and direction of their association with readmission risk. For example, I found that patients with multiple comorbidities and longer hospital stays had significantly higher odds of being readmitted. I validated the model using ROC curves and cross-validation to ensure its robustness. This analysis informed hospital administrators about key intervention points, such as improving discharge planning and follow-up care for high-risk patients. </t>
  </si>
  <si>
    <t>My interest in infectious disease modelling stems from a deep commitment to improving public health outcomes through data-driven decision-making. Growing up in a region where outbreaks of diseases like malaria and cholera are recurrent, I witnessed firsthand how limited access to timely and accurate information can hinder effective response. This inspired me to pursue quantitative methods that can help predict, prevent, and manage such health threats. Infectious disease modelling offers a powerful framework for understanding transmission dynamics, evaluating intervention strategies, and allocating resources efficiently. I am particularly drawn to its application in low- and middle-income countries, where tailored models can bridge gaps left by global approaches that often overlook local contexts.</t>
  </si>
  <si>
    <t xml:space="preserve">
I am eager to participate in this course because it offers a rare opportunity to gain hands-on training in infectious disease modelling tailored to the African context. The dual focus on foundational and advanced modelling techniques aligns perfectly with my goal of becoming a regional expert in data-driven public health strategies. I am particularly interested in learning how to build and interpret models that can inform real-time decision-making during outbreaks and support long-term disease control efforts. This course will strengthen my ability to contribute to interdisciplinary teams working on pandemic preparedness and response. It also aligns with my aspiration to support national and regional health institutions in developing early warning systems and evidence-based policies. By learning from leading experts and collaborating with peers across Africa, I hope to expand my professional network and stay at the forefront of global health innovation.</t>
  </si>
  <si>
    <t>https://drive.google.com/open?id=1WaCsf-rkZL36RsbseJxTk9s9QW1rqUzR</t>
  </si>
  <si>
    <t>https://drive.google.com/open?id=1RAvg_NLnDeXyLlvatrKeMrJB-nedPyRq</t>
  </si>
  <si>
    <t>https://drive.google.com/open?id=184FmJUxtuBZ2-YEG3QO22es_RXhmdjXn</t>
  </si>
  <si>
    <t>simo nemg fredy brice</t>
  </si>
  <si>
    <t>26/05/2025 17:17:33</t>
  </si>
  <si>
    <t>Cheick Himran El Fadel</t>
  </si>
  <si>
    <t>Moundi</t>
  </si>
  <si>
    <t xml:space="preserve"> </t>
  </si>
  <si>
    <t>moundicheick@gmail.com</t>
  </si>
  <si>
    <t>+2250788319598</t>
  </si>
  <si>
    <t xml:space="preserve">African Center of Excellence in Bioinformatics </t>
  </si>
  <si>
    <t xml:space="preserve">Graduate Student </t>
  </si>
  <si>
    <t>During my master’s in bioinformatics, I used R and Python extensively for statistical modelling and data analysis, particularly in the context of Mendelian Randomization (MR). One notable project involved investigating the causal effects of blood pressure traits on kidney function using genome-wide association summary statistics. I used R packages such as TwoSampleMR, MRInstruments, and ieugwasr to perform inverse-variance weighted and MR-Egger regressions. I also automated quality control procedures using Python for harmonizing exposure and outcome datasets, removing palindromic SNPs, and generating forest plots.
This analysis enabled us to identify potential causal links between systolic/diastolic blood pressure and estimated glomerular filtration rate (eGFR), informing early preventive strategies in African populations. The ability to translate biological questions into reproducible code and visualize model outputs in a clear, interpretable format was a pivotal skill I developed through this work. These tools enhanced the robustness and transparency of my analyses and deepened my interest in computational public health.</t>
  </si>
  <si>
    <t>One key concept I frequently used is linear regression, particularly in the context of instrumental variable (IV) analysis through Mendelian Randomization (MR). In MR, we exploit naturally occurring genetic variation as an instrument to estimate the causal effect of an exposure (e.g., blood pressure) on an outcome (e.g., kidney function). The core assumption is that the genetic variants used as instruments influence the outcome only through the exposure and not via confounders.
In practice, I used the inverse-variance weighted (IVW) method, which assumes all instruments are valid and implements a weighted linear regression of SNP-outcome associations on SNP-exposure associations, weighted by the inverse of their variance. I complemented this with MR-Egger regression, which allows for directional pleiotropy by including an intercept term in the regression.
For example, I applied this framework to understand how genetically predicted diastolic blood pressure affects kidney filtration markers in African populations. By observing the slope of the regression line (causal effect estimate) and testing the intercept (pleiotropy test), we assessed both the strength and validity of our inferences.
This method allowed us to bypass traditional confounding, which is often a challenge in observational studies. Understanding the assumptions and limitations of regression modelling was crucial for interpreting results and guiding discussions on public health implications. This hands-on application of regression models deepened my analytical thinking and highlighted the importance of statistical rigour in health research.</t>
  </si>
  <si>
    <t>Growing up in West Africa, I witnessed firsthand how infectious diseases such as malaria, Ebola, and dengue disrupted communities. These experiences shaped my commitment to public health. Infectious disease modelling provides a unique opportunity to quantify transmission dynamics, anticipate outbreaks, and evaluate interventions — all essential for evidence-based policy and resource allocation.
My background in bioinformatics and exposure to epidemiological data have shown me how mathematical models can reveal patterns that are not immediately visible from raw data. Modelling empowers us to simulate different scenarios, identify high-risk populations, and guide strategic public health actions. For me, it’s not just about numbers — it’s about saving lives through informed decision-making.
I am particularly drawn to using models to inform vaccination strategies and health system preparedness in low-resource settings. I see infectious disease modelling as a bridge between science and policy, and I am excited by its potential to reduce health inequities globally.</t>
  </si>
  <si>
    <t xml:space="preserve">This course offers a valuable opportunity to build my competence in infectious disease modelling by learning from global experts and collaborating with peers. As someone trained in bioinformatics with growing interests in epidemiology, I am eager to gain structured knowledge on dynamic transmission models, parameter estimation, and intervention simulations — all essential tools for applied public health research.
I aim to contribute to the design of data-driven interventions for disease prevention and control in sub-Saharan Africa. This training will strengthen my ability to critically evaluate models and apply them in real-world settings. It also aligns with my aspiration to pursue a PhD focusing on infectious disease dynamics, particularly in urban African contexts affected by climate-sensitive diseases like dengue or cholera.
Participating in this course will also enhance my ability to support interdisciplinary collaborations between modellers, biologists, and public health professionals. I am confident that the skills and networks gained will have a lasting impact on my career and my contribution to global health equity.
</t>
  </si>
  <si>
    <t>https://drive.google.com/open?id=1Yvd81boW5AOHl5jmrLQkyl-LkchKw453</t>
  </si>
  <si>
    <t>https://drive.google.com/open?id=14Fq8QvfoATIlmxnEBqoviDVbu5qMzFH5</t>
  </si>
  <si>
    <t>https://drive.google.com/open?id=1up04_srOY2QDRSHuyZWVITItLe-zD5Po</t>
  </si>
  <si>
    <t>moundi cheick himran el fadel</t>
  </si>
  <si>
    <t>26/05/2025 18:26:43</t>
  </si>
  <si>
    <t>Igwe</t>
  </si>
  <si>
    <t>Akujuobi</t>
  </si>
  <si>
    <t>Chukwubuike</t>
  </si>
  <si>
    <t>igwenac@yahoo.ca</t>
  </si>
  <si>
    <t>+2348033352667</t>
  </si>
  <si>
    <t>Lead City University, Ibadan, Oyo state , Nigeria</t>
  </si>
  <si>
    <t>Biologist, Medical Laboratory Scientist, Public Health scientist, Epidemiologist</t>
  </si>
  <si>
    <t xml:space="preserve">I have beginner-level experience using R and Python for data analysis, mostly through academic projects and self-paced learning. I have used R for basic data cleaning, descriptive statistics, and creating simple visualizations such as bar charts and line graphs using libraries like `ggplot2`. In one of my MPH projects, I analyzed survey data on malaria prevention practices, where I used R to organize the data and perform basic frequency distributions.
In Python, I have experimented with libraries like `Pandas` and `Matplotlib` to explore and visualize datasets. For example, I attempted to model COVID-19 case trends using simple linear regression, although I found it challenging to interpret the outputs and manage data formatting. While I understand the foundational concepts, I recognize that I need to improve my coding skills, especially in advanced data manipulation, statistical modelling, and automation.
I am currently working on strengthening my proficiency in both languages through online courses and practical application in ongoing public health projects. I am eager to deepen my understanding of disease modelling and become more confident in using these tools for real-world problem solving.
</t>
  </si>
  <si>
    <t xml:space="preserve">One quantitative concept I have applied in my work is **logistic regression**, a statistical method used to model the relationship between a binary dependent variable and one or more independent variables. During my Master of Public Health (MPH) program, I applied logistic regression to analyze factors associated with COVID-19 vaccine hesitancy among healthcare workers in Lagos State, Nigeria.
The objective was to determine which demographic and professional characteristics (e.g., age, gender, job cadre, previous vaccine history) were significantly associated with the likelihood of refusing the COVID-19 vaccine. Using statistical software (R and SPSS), I coded the outcome variable (vaccine acceptance: yes = 1, no = 0) and ran a multivariable logistic regression analysis to adjust for potential confounders.
The analysis produced odds ratios (ORs) and confidence intervals, which helped quantify the strength and direction of the association between each independent variable and vaccine hesitancy. For example, I found that younger healthcare workers and those without prior vaccination history were more likely to be hesitant. This insight informed tailored communication strategies for increasing vaccine uptake among specific subgroups.
Using logistic regression in this context helped me move beyond descriptive statistics to draw inferential conclusions and identify key predictors of health behavior. It enhanced the evidence base for decision-making and guided the development of targeted public health interventions. This experience also reinforced my appreciation for the importance of understanding statistical assumptions, interpreting outputs correctly, and communicating findings clearly. As I continue to grow in my public health career, I aim to strengthen my skills in applying regression and other statistical models to support effective disease surveillance and control.
</t>
  </si>
  <si>
    <t xml:space="preserve">My interest in infectious disease modelling is driven by a deep commitment to improving public and global health outcomes, especially in resource-limited settings. As a Public Health Medical Laboratory Scientist working in Lagos, I have witnessed firsthand how rapidly infectious diseases can spread and overwhelm health systems. Modelling provides a powerful tool to predict disease patterns, assess intervention impacts, and guide timely responses during outbreaks.
The COVID-19 pandemic especially highlighted the value of modelling in decision-making, from estimating case loads to evaluating the effects of public health interventions. I am motivated by the opportunity to apply modelling techniques to real-world problems, such as optimizing vaccination strategies, identifying at-risk populations, and improving outbreak preparedness.
Additionally, modelling aligns with my passion for data-driven public health. It bridges laboratory findings, field surveillance, and policy planning, enabling evidence-based decisions. I see it as a strategic way to support global health security and prevent the escalation of emerging infectious diseases. By deepening my skills in disease modelling, I aim to contribute meaningfully to early warning systems, surveillance improvements, and targeted interventions that save lives and strengthen public health resilience.
</t>
  </si>
  <si>
    <t xml:space="preserve">I am eager to participate in the G-WAC course on Disease Modelling for Pandemic Preparedness and Response because it offers a unique opportunity to build practical skills in an area that is central to my public health career. As a Public Health Medical Laboratory Scientist with a background in Epidemiology, I recognize that modelling is critical for understanding disease dynamics, anticipating outbreaks, and designing effective interventions, especially in densely populated, high-risk settings like urban slums.
This course aligns perfectly with my academic and professional goals. I am currently pursuing a PhD in Public Health with a focus on Epidemiology and Medical Statistics, and I aim to specialize further in infectious disease modelling to support evidence-based policy and programming. The multidisciplinary, hands-on approach of this course will strengthen my technical capacity to collaborate on modelling projects that inform public health decisions in Nigeria and across the African region.
Moreover, the course will enhance my ability to contribute to National and International efforts on pandemic preparedness, surveillance, and control. It will also expand my professional network and open doors to future collaborative research. Ultimately, this training will empower me to drive impactful, data-driven interventions that address current and emerging health threats.
</t>
  </si>
  <si>
    <t>https://drive.google.com/open?id=1vhsIfr8SKpCjL_FcZZpFn246XgZ7jhdp</t>
  </si>
  <si>
    <t>https://drive.google.com/open?id=1o-xzqFK8sS1rqGFeM7zHu-Ntl6rek12H</t>
  </si>
  <si>
    <t>Submitted</t>
  </si>
  <si>
    <t>Yet to submit</t>
  </si>
  <si>
    <t>https://drive.google.com/open?id=1dJWYXnZmdX-h-s3OaXaSrcGDCl-rQwi_</t>
  </si>
  <si>
    <t>akujuobi igwe</t>
  </si>
  <si>
    <t>26/05/2025 20:29:35</t>
  </si>
  <si>
    <t>Dlamini</t>
  </si>
  <si>
    <t>Sinothando</t>
  </si>
  <si>
    <t>Samukele</t>
  </si>
  <si>
    <t>sinodlamini99@gmail.com</t>
  </si>
  <si>
    <t>+27 78 872 2197</t>
  </si>
  <si>
    <t>University of the Witwatersrand</t>
  </si>
  <si>
    <t>Field Epidemiologist, Phisician Assistant</t>
  </si>
  <si>
    <t>During my public health work in South Africa, I contributed to outbreak responses for measles, cholera, mpox, and foodborne illnesses. These experiences strengthened my skills in data collection, analysis, and dissemination using programming tools such as REDCap, R, and Stata. I was responsible for managing and cleaning surveillance data, generating real-time reports, and presenting insights to stakeholders for decision-making.
One of the key challenges I encountered was identifying the source of a foodborne outbreak affecting multiple provinces. I used R to merge and clean datasets from different sources, conducted descriptive and temporal analyses, and applied logistic regression to identify statistically significant risk factors. These results were instrumental in guiding environmental health interventions and controlling the spread of the outbreak.
In addition to R, I used Stata to perform time-series analysis for the cholera outbreak, which helped detect hotspots and informed targeted public health responses. Data collection was primarily managed through REDCap, ensuring data integrity and security.
Overall, these experiences demonstrated the power of data science in supporting public health action and solidified my passion for using data-driven tools to solve real-world health challenges.</t>
  </si>
  <si>
    <t>In my work and studies, I have frequently applied logistic regression to analyze large datasets, particularly in the field of tuberculosis (TB). Logistic regression is a statistical method used to model the relationship between a binary outcome and one or more independent variables. This method has been crucial in hypothesis-driven research where the goal is to identify risk factors associated with TB treatment outcomes or drug resistance.
During my master’s research, I investigated the effects of pyrazinamide and/or ethambutol resistance on TB treatment outcomes using whole genome sequencing data collected in South Africa between 2020 and 2022. Logistic regression allowed me to assess whether resistance to these drugs significantly increased the odds of poor treatment outcomes (e.g., treatment failure or relapse) while adjusting for potential confounders such as HIV status, age, and previous TB history.
By interpreting odds ratios and confidence intervals, I could determine the strength and direction of associations. For instance, we found that patients with pyrazinamide resistance had significantly higher odds of unsuccessful treatment outcomes. These findings informed recommendations for more targeted treatment regimens and supported calls for the routine use of genomic tools in TB management.
Additionally, I applied logistic regression during a national TB surveillance project, where I analyzed large datasets to identify patient-level factors associated with multidrug-resistant TB. This analysis helped inform national programmatic strategies, including prioritizing diagnostic tools and allocating resources more efficiently.
Using quantitative methods like logistic regression not only strengthened the validity of our findings but also allowed for evidence-based decision-making in both research and public health policy. It reinforced my appreciation for how statistical models can transform complex health data into actionable insights that improve health outcomes on a population level.</t>
  </si>
  <si>
    <t>My interest in infectious disease modelling is deeply rooted in my journey from clinical practice to public health. Initially trained as a clinician, I found fulfilment in helping individual patients. However, over time, I became drawn to the broader impact of data—how it can inform interventions that protect entire communities, especially those most vulnerable.
This passion grew during my time with the Field Epidemiology Training Programme at the Centre for TB, where I was exposed to real-world outbreak responses and the importance of transforming raw data into actionable insights. I saw how modelling infectious diseases like TB, measles, and cholera could guide timely public health decisions, allocate resources efficiently, and ultimately save lives.
Now, as a data science student, I’m building the technical skills to complement my public health experience. Infectious disease modelling excites me because it brings together epidemiological understanding, quantitative analysis, and real-world application. It is a powerful tool for predicting disease trends, evaluating interventions, and preparing for future threats—particularly in underserved populations where the stakes are high.
What motivates me most is the opportunity to be part of this data-driven approach to improving global health outcomes and promoting health equity through evidence-based strategies.</t>
  </si>
  <si>
    <t>I am eager to participate in the Disease Modelling for Pandemic Preparedness and Response 2025 course because it aligns perfectly with my goal of becoming a skilled infectious disease modeller who contributes to global health preparedness. My clinical and epidemiological background, combined with my current training in data science, positions me well to integrate theory, field experience, and quantitative analysis.
Through my work in South Africa, I’ve participated in responding to outbreaks such as measles, cholera, mpox, and foodborne illnesses. These experiences highlighted the importance of timely, data-driven modelling in predicting disease trends and informing public health decisions. However, I recognize the need to strengthen my theoretical and practical understanding of modelling methods to have a more meaningful impact in future health emergencies.
This course will equip me with advanced tools to simulate infectious disease dynamics, evaluate interventions, and support public health planning and response. It also offers a platform to learn from experts and collaborate with peers across diverse settings, which I highly value.
Ultimately, this training will enhance my ability to contribute to pandemic preparedness efforts and advocate for evidence-based interventions in resource-limited settings—where accurate modelling can save lives.</t>
  </si>
  <si>
    <t>https://drive.google.com/open?id=1EMYHC7kXM06iv-wF1h6W2TWtySWduy6S</t>
  </si>
  <si>
    <t>https://drive.google.com/open?id=1wCMUd0sBj2nYxePXpfjNJG7MDFHbPbe2</t>
  </si>
  <si>
    <t>https://drive.google.com/open?id=1vVUpxipLTtG4v54-IhgrTKYegtGTe60f</t>
  </si>
  <si>
    <t>sinothando dlamini</t>
  </si>
  <si>
    <t>26/05/2025 21:27:24</t>
  </si>
  <si>
    <t>SALIA</t>
  </si>
  <si>
    <t>PORTIA</t>
  </si>
  <si>
    <t>portia.salia.ps@gmail.com</t>
  </si>
  <si>
    <t>0543865493</t>
  </si>
  <si>
    <t>GHANA HEALTH SERVICE</t>
  </si>
  <si>
    <t>DISEASE CONTROL OFFICER</t>
  </si>
  <si>
    <t>During my undergraduate studies in Public Health (Disease Control) in Ghana, I used Stata extensively for data analysis in my final-year research project titled “Assessment of Knowledge of Vaccine Handlers in Ghana on Effective Vaccine Management.” The study involved analyzing data collected from various levels- region to the CHPS within nine selected regions to assess knowledge levels and identify gaps in vaccine handling practices.
Using Stata, I cleaned and coded the data, performed descriptive statistics to summarize participants’ responses, and conducted chi-square tests to examine associations between knowledge levels and variables such as training received, years of experience, and facility type. This analysis provided evidence-based insights into areas needing improvement in training and supervision.
Working with Stata not only strengthened my technical skills in statistical analysis but also deepened my understanding of how quantitative data can inform practical public health interventions. This experience solidified my interest in data driven research and prepared me for advanced studies involving epidemiological and demographic analysis</t>
  </si>
  <si>
    <t>One important quantitative concept I used during my undergraduate research was logistic regression, which I applied in analyzing data from my study titled “Assessment of Knowledge of Vaccine Handlers in Ghana on Effective Vaccine Management.” The goal of the study was to determine factors associated with vaccine handlers' knowledge levels across selected health facilities.
Logistic regression was particularly appropriate for this analysis because the dependent variable knowledge level was categorized as adequate or inadequate, making it a binary outcome. I used Stata to model the relationship between this outcome and several independent variables such as professional role, years of experience, prior training in vaccine management and region.
This statistical technique allowed me to estimate the odds ratios for each predictor, helping to identify which factors significantly influenced knowledge adequacy. For instance, the analysis revealed that vaccine handlers who had received formal training within the past two years were significantly more likely to demonstrate adequate knowledge. Similarly, those working in larger facilities tended to perform better than those in smaller or rural settings.
Understanding logistic regression enabled me to go beyond simple associations and quantify the strength and direction of relationships between variables, while also controlling for potential confounders. It also improved the credibility of my findings, which can be used to inform training programs and capacity-building initiatives for vaccine handlers.
This experience deepened my appreciation for the value of quantitative methods in public health research and their ability to produce actionable insights. Acknowledging that my current skills in this area are still developing, I am strongly motivated to strengthen my expertise. It has inspired me to pursue advanced training in statistical modelling to better contribute to evidence-based decision-making in population health.</t>
  </si>
  <si>
    <t>My interest in infectious disease modelling stems from my academic background in Public Health (Disease Control) and my firsthand experience with the public health challenges faced in Ghana. During my studies and fieldwork, I witnessed how diseases like malaria, cholera and vaccine-preventable illnesses continue to impact vulnerable populations, often due to gaps in prevention strategies, surveillance and timely interventions.
This interest deepened during the COVID-19 pandemic, when I participated in contact tracing efforts. I was part of a team that included a field epidemiologist who frequently discussed the role of disease modelling in predicting outbreak patterns, guiding public health interventions and informing decision-makers. These conversations opened my eyes to how powerful modelling can be in shaping effective responses during crises.
What excites me most about infectious disease modelling is its ability to simulate scenarios, evaluate control strategies and support evidence-based planning especially in resource limited settings. My undergraduate research on vaccine management further reinforced my belief in the importance of data driven public health.
I am eager to build the technical skills needed to apply modelling in the contexts of my country, with the goal of improving epidemic preparedness and promoting equitable health outcomes on both national and global scales.</t>
  </si>
  <si>
    <t>I want to participate in this course because it offers the opportunity to gain advanced knowledge and practical skills in infectious disease modelling, an area that is increasingly essential in public health planning and response. With a background in Public Health (Disease Control) and experience in fieldwork, I have seen how limited data analysis capacity can hinder effective intervention, especially during outbreaks.
This course aligns closely with my long-term goal of becoming an epidemiologist who specializes in infectious disease surveillance and control. I aim to contribute to disease surveillance and outbreak preparedness efforts in Ghana and across sub-Saharan Africa. By gaining a deeper understanding of modelling techniques, I will be better equipped to analyze complex health data, forecast disease trends, and support policy decisions based on evidence.
Participating in this course will also enhance my readiness for postgraduate study and research in global health. Ultimately, I see it as the best step toward becoming a skilled professional who can bridge the gap between data and decision making in infectious disease control.</t>
  </si>
  <si>
    <t>https://drive.google.com/open?id=1yry6p44xTx6C5LYS9cmlvhiWLW7vw8nl</t>
  </si>
  <si>
    <t>https://drive.google.com/open?id=1Y24zYNqCVJ7cVd2jevCoZVjPkAL1G-Ya</t>
  </si>
  <si>
    <t>https://drive.google.com/open?id=1RaC2Fie4kRlVt-KyADYsdWyFELyx_D29</t>
  </si>
  <si>
    <t>portia salia</t>
  </si>
  <si>
    <t>26/05/2025 21:54:35</t>
  </si>
  <si>
    <t>Fuhngwa</t>
  </si>
  <si>
    <t>Fuhnwi</t>
  </si>
  <si>
    <t>Norbert</t>
  </si>
  <si>
    <t>fuhngwa_norbert@yahoo.com</t>
  </si>
  <si>
    <t>+237 670368472</t>
  </si>
  <si>
    <t>Triangle Research Foundation</t>
  </si>
  <si>
    <t>I have applied programming languages such as R and Python extensively for data analysis, visualization, and modelling in public health projects. My proficiency in these tools has enabled me to translate complex health data into actionable insights that inform decision-making at program and policy levels.
One notable example is during my work with Seefar on the Pathways Project, which focused on irregular migration patterns across Afghanistan, Egypt, Iraq, Turkey, and Pakistan. I used Python to clean and analyze large-scale quantitative and qualitative datasets collected via digital surveys. I then applied statistical modelling techniques, including logistic regression, to identify key predictors of migration intentions and vulnerability factors among migrant populations along the Eastern Mediterranean and Western Balkan routes.
Using R, I also developed interactive visualizations to display trends in migration flows and protection risks, which were used to brief partners and influence program adaptations. These tools improved not only the clarity of our findings but also their relevance to operational and strategic decisions.
This hands-on experience in applying programming languages to real-world public health and humanitarian data challenges has significantly strengthened my modelling and analytical capabilities.</t>
  </si>
  <si>
    <t>One key quantitative concept I frequently apply in my work is logistic regression, particularly for analyzing binary outcomes in public health and humanitarian settings. Logistic regression enables the estimation of the probability that a certain event occurs—such as disease presence, treatment uptake, or migration decision—based on one or more predictor variables.
During my consultancy with Seefar on the Pathways Project, which focused on irregular migration trends across Afghanistan, Egypt, Iraq, Turkey, and Pakistan, I used logistic regression (with R and Python) to identify the socio-demographic and contextual factors that significantly influenced individuals’ likelihood of attempting irregular migration. The dependent variable was binary (1 = intention to migrate irregularly, 0 = no intention), and independent variables included education level, prior migration experience, economic status, and exposure to smuggling networks.
The results revealed that prior migration experience and exposure to smuggling agents significantly increased the probability of irregular migration. These insights informed evidence-based programming to address risk perception, improve community awareness, and strengthen preventive interventions for at-risk groups.
Similarly, in my work with iMMAP and Georgetown University Global Health Initiative, I applied logistic regression to assess the effectiveness of HIV retention strategies and predict treatment adherence based on patient characteristics and service delivery patterns.
Overall, logistic regression has proven essential in my data analysis toolkit. It provides not only statistically sound estimates but also interpretable results that have real-world implications for health policy, risk communication, and targeted interventions.</t>
  </si>
  <si>
    <t>My motivation to pursue infectious disease modelling stems from a deep commitment to using data-driven insights to strengthen public health responses, especially in resource-limited settings. Over the past nine years, I have worked on the frontlines of disease surveillance, outbreak response, and health systems strengthening—supporting national programs on HIV, TB, COVID-19, and malaria in Cameroon and across West Africa.
During these roles, I observed firsthand the critical role modelling could play in anticipating disease trends, optimizing interventions, and allocating scarce resources more efficiently. Yet, I also witnessed a persistent gap: the lack of local capacity to generate context-specific models that inform timely, evidence-based decisions.
This realization drives my passion for building expertise in infectious disease modelling. I see it not only as a technical skill, but as a powerful tool to reduce health inequities, strengthen pandemic preparedness, and inform global health strategies tailored to local realities. I am particularly inspired by the opportunity to contribute to early warning systems and intervention planning that can save lives and protect vulnerable communities—goals that align closely with my career in epidemiology and public health data analysis.</t>
  </si>
  <si>
    <t>I am eager to participate in the G-WAC Infectious Disease Modelling Course because it aligns perfectly with my long-term goal of becoming a leading expert in data-driven public health interventions across Africa. With over nine years of experience as a public health epidemiologist, I have led data analysis and monitoring initiatives for HIV, TB, malaria, and COVID-19 in collaboration with organizations such as iMMAP, Seefar, and the Georgetown University Global Health Initiative. However, I recognize a critical gap in my technical capacity—advanced infectious disease modelling—which is essential for predictive analytics, outbreak forecasting, and evidence-based policy formulation.
This course offers a unique opportunity to gain both foundational and advanced skills in modelling, tailored to the African context. I am particularly drawn to its hands-on, in-person format and the emphasis on local data and real-world application. By completing this training, I aim to contribute more effectively to pandemic preparedness and health system resilience in Cameroon and beyond. It will also enhance my ability to support national programs and regional partners with timely, context-relevant modelling insights that improve health outcomes. This training represents a vital step toward my broader goal of shaping health policy through data and innovation.</t>
  </si>
  <si>
    <t>https://drive.google.com/open?id=1YRPr_LvOyWVrwEJMMBNTepOmwGduyg3Q</t>
  </si>
  <si>
    <t>https://drive.google.com/open?id=1M3oJ58HEiRW59r0ebae2uh_b-h1CBxOY</t>
  </si>
  <si>
    <t>https://drive.google.com/open?id=1wD9zAVSK1APiu8gGSqtKSm6jpxNVGnS-</t>
  </si>
  <si>
    <t>fuhnwi fuhngwa</t>
  </si>
  <si>
    <t>26/05/2025 22:29:25</t>
  </si>
  <si>
    <t>Basil</t>
  </si>
  <si>
    <t>Izuchukwu</t>
  </si>
  <si>
    <t>Chukwuemeka</t>
  </si>
  <si>
    <t>analystbasil406@gmail.com</t>
  </si>
  <si>
    <t>+2348069018391</t>
  </si>
  <si>
    <t>Ministry of Health</t>
  </si>
  <si>
    <t>Technical Assistant, State Public Health Emergency Operation Centre (SPHEOC)</t>
  </si>
  <si>
    <t>I have a solid foundation in using programming languages for data analysis and modeling, which I have developed through various experiences. Most recently, I’ve been working with R (version 4.5), having completed over 60% of an “Introduction to R for Applied Epidemiology” course. This training equipped me with essential skills such as data cleaning, summarizing data with functions like {dplyr} and {janitor}, visualizing data with {ggplot2}, creating detailed reports using R Markdown, and troubleshooting coding issues.
Before this, I gained significant hands-on experience with Python during a three-month internship where I primarily worked with PyCharm. During that period, I used Python libraries such as NumPy, Pandas, and Matplotlib for various data analysis tasks and visualizations. I also developed charts, managed datasets, and performed troubleshooting to ensure smooth data operations. More recently, I have continued to use Python through Google Colab, where I applied similar techniques in data analysis and visualization, further strengthening my Python skills.
My experience with both Python and R has made me comfortable using these tools in epidemiological contexts, and I am confident that I can apply these skills effectively in infectious disease modeling.</t>
  </si>
  <si>
    <t>As part of my Master of Public Health thesis in 2024, I applied binary logistic regression to examine factors influencing antimicrobial prescribing practices among primary health care (PHC) prescribers in Imo State, Nigeria. I led a cross-sectional study involving 547 prescribers across all 27 local government areas, focusing on knowledge, attitudes, and practices (KAP) related to antimicrobial resistance (AMR) and digital readiness.
Logistic regression was used to identify significant predictors of good prescribing practices (binary outcome: good vs. poor), using explanatory variables such as AMR knowledge scores, AMS training participation, access to antibiograms, and digital engagement. The model revealed that attitude toward AMR was the strongest predictor of appropriate prescribing behavior (OR = 17.585, p &lt; 0.001). Other findings showed that access to training and digital knowledge resources was positively associated with good practice, while lack of diagnostic tools hindered effective decision-making.
This quantitative approach was crucial in disentangling complex behavioral drivers and controlling for confounding variables. For instance, despite 66.4% of prescribers demonstrating adequate AMR knowledge, 88.5% still exhibited poor prescribing practices, highlighting the central role of attitude and access in shaping outcomes.
Results were shared with state health stakeholders, leading to targeted recommendations for continuing AMS education, digital platform integration, and diagnostic support at PHC facilities. The use of binary logistic regression enabled me to move beyond surface-level associations and offer evidence-based insights for strengthening Nigeria’s AMR response from the primary care level upward.</t>
  </si>
  <si>
    <t>My interest in infectious disease modeling comes from firsthand experience with the impact of delayed reporting and interpretation of data in Nigeria’s outbreak responses. As a Technical Assistant at the Ministry of Health, I’ve witnessed how delays in data analysis and reporting can escalate public health emergencies and result in unnecessary mortalities. For example, recent cholera-like cases in my state, suspected but unconfirmed, suffered from delays in sample collection and reporting, leading to severe cases and deaths that could have been prevented with faster intervention. These experiences highlight the need for better forecasting and predictive tools to prevent or mitigate such outcomes.
I have deepened my commitment to applying modeling frameworks through courses like Infectious Disease Transmission Models for Decision-Makers by Johns Hopkins University. While supporting the state’s Public Health Emergency Operations Center, I’ve realized that the center lacks a dedicated team for data modeling, forecasting, and hotspot identification. This gap prevents the full utilization of surveillance data, which is rich with potential but currently underused. I am eager to develop the skills needed to bridge this gap, enabling preemptive actions and better preparedness to control and prevent outbreaks, particularly in resource-constrained settings like my state.</t>
  </si>
  <si>
    <t xml:space="preserve">If given the opportunity to participate in the G-WAC course, I will be equipped with cutting-edge modeling techniques and systems thinking needed to design evidence-based outbreak responses. Meanwhile, this course aligns directly with my career goal of becoming a regional leader in health systems intelligence, using quantitative tools to inform epidemic preparedness in West Africa.
The course’s blend of theoretical grounding and practical exercises is ideal for someone like me, who is already embedded in field-level operations but needs structured modeling expertise. I am interested in learning compartmental modeling and scenario simulations that can be directly applied to the infectious disease surveillance data I currently manage.
Beyond technical skill, the opportunity to network with global experts and peers will improve my perspective on interdisciplinary collaboration, which is an essential trait for leading future One Health initiatives. </t>
  </si>
  <si>
    <t>https://drive.google.com/open?id=1P2767IKI-VzbsErbTi-H2V7NMXkIdf-d</t>
  </si>
  <si>
    <t>https://drive.google.com/open?id=1y5DGB-2SN600G6HhFD82fl4dh5ftVoxA</t>
  </si>
  <si>
    <t>Okay, I will.</t>
  </si>
  <si>
    <t>Okay, I have an abstract even though it's AMR related</t>
  </si>
  <si>
    <t>https://drive.google.com/open?id=1utVjdkYSu90-15K14g3AbHJ-krA2rEDz</t>
  </si>
  <si>
    <t>izuchukwu basil</t>
  </si>
  <si>
    <t>27/05/2025 04:25:21</t>
  </si>
  <si>
    <t>OWITI</t>
  </si>
  <si>
    <t xml:space="preserve">DENIS </t>
  </si>
  <si>
    <t>OMONDI</t>
  </si>
  <si>
    <t>omondi.owiti@aku.edu</t>
  </si>
  <si>
    <t>+254726022768</t>
  </si>
  <si>
    <t>AGA KHAN UNIVERSITY</t>
  </si>
  <si>
    <t>STATISTICIAN</t>
  </si>
  <si>
    <t>I have extensive experience using R and Python for data analysis and modeling. In my role as a Project Coordinator and Statistician, I have leveraged R for tasks ranging from data cleaning and visualization to advanced statistical modeling. For example, I used R to develop a logistic regression model to assess factors associated with maternal anemia in pregnancy, incorporating complex survey data. This required data wrangling using packages like dplyr, visualization with ggplot2, and model building with glm. Additionally, I employed Python’s scikit-learn library to build machine learning models predicting early childhood developmental delays, comparing algorithms like decision trees and random forests to identify key risk factors.
My work also involves interactive data dashboards and reproducible reporting using R Markdown and Jupyter Notebooks. These programming tools have enabled me to automate repetitive tasks and ensure high-quality, reproducible analyses. This experience has not only deepened my technical skills but has also strengthened my ability to communicate insights to multidisciplinary teams, making data-driven decisions more accessible and impactful.</t>
  </si>
  <si>
    <t>One quantitative concept I have frequently applied in my work is regression analysis, specifically logistic regression, which models the relationship between a binary outcome and multiple predictor variables. This concept has been instrumental in my research projects focusing on maternal and child health, mental health, and health systems.
For example, in a study investigating the risk factors for maternal anemia in pregnancy, I used logistic regression to quantify the associations between anemia status (yes/no) and potential risk factors such as age, parity, body mass index (BMI), and dietary diversity. By modeling the log-odds of anemia as a linear combination of these predictors, I was able to calculate adjusted odds ratios and identify key determinants while controlling for confounding factors. This analysis was implemented in R using the glm() function and visualized with ggplot2, making the results accessible to collaborators who were not statisticians.
The concept of regression not only informed the interpretation of the data but also guided the study design and data collection processes. For instance, understanding how to handle multicollinearity and interaction effects in regression models improved the quality of the data collected. Moreover, insights from the logistic regression model helped prioritize targeted interventions for at-risk groups, thereby supporting data-driven decision-making in health programs.
Additionally, I have extended the use of regression analysis to more advanced machine learning approaches such as regularized regression (LASSO and Ridge), which helps address overfitting and variable selection when working with high-dimensional data. This has been particularly useful in mental health prediction projects, where I combined logistic regression models with regularization techniques to enhance predictive accuracy.
Overall, logistic regression has been a cornerstone of my quantitative work, offering both robust statistical inference and practical insights for policy and program implementation.</t>
  </si>
  <si>
    <t>My interest in infectious disease modelling stems from its crucial role in understanding and managing public health threats, especially in low-resource settings. Living and working in Kenya, I have witnessed firsthand how data-driven insights can inform and strengthen disease prevention and control programs. I am particularly motivated by the ability of infectious disease models to integrate diverse data—such as social, demographic, and environmental factors—to predict outbreak dynamics and assess intervention impacts.
For instance, during the COVID-19 pandemic, I supported data-driven efforts for vaccination program monitoring, which deepened my appreciation for the importance of real-time data and predictive modelling. Infectious disease modelling empowers health policymakers to allocate resources effectively and tailor responses to local needs.
Moreover, I am inspired by the potential of these models to highlight health inequities and guide equitable interventions, especially in vulnerable communities. The ability to simulate scenarios and evaluate strategies before they are implemented in the real world aligns with my commitment to improving population health outcomes and ensuring that evidence-based decisions drive health system strengthening.</t>
  </si>
  <si>
    <t>I am eager to participate in this course because it aligns perfectly with my aspiration to harness data science and machine learning for impactful public health research. My current work as a data coordinator involves managing complex health data, and I see a crucial need to strengthen my skills in predictive modelling and data-driven decision-making to address pressing health challenges in my community.
By engaging in this course, I aim to deepen my understanding of advanced analytical methods, particularly in the context of infectious disease modelling, mental health, and maternal health. I am excited to learn from global experts, share experiences, and explore practical applications of these methods in real-world settings. This will not only refine my analytical skills but also empower me to mentor colleagues and enhance the data capacity within my team.
In the long term, I aspire to lead impactful health research projects that leverage data to inform policy and program design. This course is a significant step towards achieving that goal, equipping me with the technical and conceptual tools to advance public health solutions in low- and middle-income countries.</t>
  </si>
  <si>
    <t>https://drive.google.com/open?id=1TNkyOO74FD6t92bnzugUnfQtbIDmepoq</t>
  </si>
  <si>
    <t>https://drive.google.com/open?id=1EUaQt8E0m23iuqmq4yBYo0nq7qX8Mk2S</t>
  </si>
  <si>
    <t>YES</t>
  </si>
  <si>
    <t>https://drive.google.com/open?id=1o-zI0ivPziP5oJsL-GLwJsI0AxBq7-x_</t>
  </si>
  <si>
    <t>denis owiti</t>
  </si>
  <si>
    <t>27/05/2025 06:21:10</t>
  </si>
  <si>
    <t xml:space="preserve">Chukwuemeka </t>
  </si>
  <si>
    <t xml:space="preserve">Cinderella </t>
  </si>
  <si>
    <t xml:space="preserve">Ebele </t>
  </si>
  <si>
    <t>Cinderella.chukwuemeka@uniosun.edu.ng</t>
  </si>
  <si>
    <t>+2347031601020</t>
  </si>
  <si>
    <t xml:space="preserve">Osun State University </t>
  </si>
  <si>
    <t xml:space="preserve">Medical Laboratory Scientist </t>
  </si>
  <si>
    <t xml:space="preserve">I Have extensive experience in using SPSS (Statistical Package for the Social Sciences) for data analysis, especially in the context of clinical and biomedical research. My familiarity with SPSS has enabled me to manage large datasets, perform complex statistical analyses (such as t-tests, ANOVA, regression, and chi-square tests), and generate clear, interpretable outputs for research projects. One notable instance involved analyzing clinicopathological data from breast cancer samples, where I used SPSS to explore the association between PIK3CA gene expression and patient prognosis. This analysis required handling missing data, performing logistic regression, and visualizing results through graphs and tables for publication. In addition, I possess introductory knowledge of bioinformatics tools and platforms such as R, Python, and online tools like Galaxy, primarily applied in genomics and sequence data analysis. Though I’m still developing proficiency in these tools, I have successfully used them for tasks such as quality assessment of sequencing data and gene expression profiling. For instance, I analyzed RNA-seq data to identify differentially expressed genes in hepatocellular carcinoma models treated with plant extracts, which provided insights into potential therapeutic mechanisms.
</t>
  </si>
  <si>
    <t xml:space="preserve">A key quantitative concept I’ve employed in my work is logistic regression, particularly when analyzing categorical outcomes in biomedical datasets. Logistic regression is a type of regression analysis used to predict the probability of a binary outcome based on one or more predictor variables. In my research, I applied logistic regression to study the association between specific biomarkers and disease outcomes, such as the relationship between PIK3CA expression and breast cancer prognosis. This method allowed me to quantify the likelihood of a patient having a certain clinical outcome (e.g., recurrence or survival) based on molecular and clinicopathological variables.
Using SPSS, I performed both univariate and multivariate logistic regression analyses. The univariate analysis helped identify potential predictors, while the multivariate model adjusted for confounding factors such as age, tumor grade, and treatment type. The analysis provided key statistics, including odds ratios (ORs), confidence intervals (Cis), and p-values, which informed my interpretation of the strength and significance of each predictor. For example, I found that high PIK3CA expression was associated with an increased odds of disease recurrence, with an adjusted OR of 2.3 and a 95% CI that did not include 1, indicating a statistically significant association. This result suggested that PIK3CA could be a potential prognostic marker, informing subsequent recommendations for targeted therapies. Moreover, the visualization of logistic regression results, through ROC (receiver operating characteristic) curves and classification tables helped evaluate the model’s predictive performance. This not only reinforced the validity of my findings but also guided the development of predictive models for patient stratification in clinical settings.
</t>
  </si>
  <si>
    <t xml:space="preserve">My interest in infectious disease modelling is driven by its critical role in understanding, predicting, and mitigating public health threats. Infectious diseases, from local outbreaks to global pandemics, have profound health, economic, and societal impacts. I am particularly motivated by the power of modelling to provide actionable insights for decision-making, especially in resource-limited settings like my home country. Through mathematical and computational models, we can estimate disease spread, assess intervention strategies, and predict the potential burden on healthcare systems. Additionally, my background in clinical and laboratory research has shown me firsthand the devastating effects of infectious diseases on communities, particularly vulnerable populations. This experience has fueled my desire to contribute to public health responses through evidence-based tools. For example, I am interested in modelling the dynamics of diseases like HPV, malaria, and emerging zoonoses to inform vaccine strategies and resource allocation. Ultimately, infectious disease modelling represents an exciting intersection of science, technology, and public health policy, an area where I can apply my analytical skills to make a tangible, positive impact on global health outcomes.
</t>
  </si>
  <si>
    <t xml:space="preserve">I am eager to participate in this course because it offers an invaluable opportunity to deepen my understanding of infectious disease modelling and its applications in global health. As a clinical and biomedical researcher with experience in data analysis and an emerging interest in bioinformatics, I recognize the growing importance of computational and mathematical models in addressing public health challenges. This course will equip me with the theoretical knowledge and practical skills to design, implement, and interpret infectious disease models, which are essential for informed decision-making in public health responses. My future goals include contributing to national and global health efforts by integrating disease modelling into research and public health policy, particularly in low-resource settings like Nigeria. I aim to develop predictive models for disease outbreaks, evaluate intervention strategies, and support resource allocation, especially in rural and underserved communities. Participating in this course aligns perfectly with these aspirations, as it will bridge the gap between my clinical research background and the computational tools necessary for impactful public health work.
</t>
  </si>
  <si>
    <t>https://drive.google.com/open?id=1b2Vh9ixkHQ1FZ0CVwOSs_QtQUKXGu_Zk</t>
  </si>
  <si>
    <t>https://drive.google.com/open?id=1Ng-rd0XpN_nPcJ_MQ7r_iweJsmA0OSu3</t>
  </si>
  <si>
    <t>https://drive.google.com/open?id=1tra0tu1srtqWPfglWip5jg5cIcbFNadk</t>
  </si>
  <si>
    <t>cinderella chukwuemeka</t>
  </si>
  <si>
    <t>27/05/2025 07:39:50</t>
  </si>
  <si>
    <t>Ofor</t>
  </si>
  <si>
    <t>Ogechi</t>
  </si>
  <si>
    <t xml:space="preserve">Cecilia </t>
  </si>
  <si>
    <t>oforogechi2@gmail.com</t>
  </si>
  <si>
    <t>+2349036665147</t>
  </si>
  <si>
    <t>Ebonyi State University</t>
  </si>
  <si>
    <t xml:space="preserve">I have substantial experience using SPSS and Python for data analysis and disease modelling in both academic and community-driven health projects. As Founder and Research Head of the Ceciliaofor Empowerment Foundation, I led the development of a hybrid machine learning model combining Feedforward Neural Networks and Random Forests to predict pregnancy complications, achieving an accuracy of 92.5%. This project demonstrated how advanced modelling techniques could be adapted for maternal healthcare in underserved communities. I presented these findings at the WiDS Barcelona Biomedicine Symposium (2024), where the work was commended for its innovative application in public health.
In my role as a Research Assistant at the Department of Medical Biochemistry, Alex Ekwueme Federal University, I used Python and SPSS to analyze survey data (n=500) on pharmacy usage and antimalarial resistance in Abakaliki, Nigeria. Our findings—highlighting a 35% self-medication rate—contributed to local health policy changes and improved community engagement on responsible antimalarial use.
These experiences have strengthened my ability to apply data science and modelling tools to solve real-world public health challenges. I am eager to further this expertise through the G-WAC course in preparation for future pandemic responses in Africa.
</t>
  </si>
  <si>
    <t xml:space="preserve">One key quantitative concept I have applied extensively in my work is logistic regression, a statistical method used to model binary outcomes based on one or more predictor variables. I used this technique in both my academic and foundation work to understand relationships between health indicators and outcomes.
In my role as Founder and Research Head at the Ceciliaofor Empowerment Foundation, I incorporated logistic regression into the development of a hybrid AI model for predicting pregnancy complications. This allowed me to estimate the probability of adverse outcomes based on maternal health indicators such as age, BMI, blood pressure, and previous obstetric history. The logistic regression layer informed the feature selection and risk weighting components of the model, helping to refine the overall predictive accuracy before integrating more complex machine learning algorithms like Random Forest and Feedforward Neural Networks. This analysis led to a 92.5% prediction accuracy, enabling targeted interventions for high-risk women in underserved areas.
Additionally, as a Research Assistant at Alex Ekwueme Federal University, I applied logistic regression using SPSS and Python to analyze data from a survey on antimalarial resistance. The outcome variable was whether participants practiced self-medication, with predictors including education level, income, and proximity to health facilities. The model revealed a strong correlation between lower education levels and higher self-medication rates (p &lt; 0.01), providing actionable insights for community education programs and informing local health policy.
Through these experiences, logistic regression has proven invaluable for deriving insights from data and informing evidence-based health interventions. Its interpretability and predictive power continue to shape my approach to tackling complex health challenges, particularly in resource-limited settings.
</t>
  </si>
  <si>
    <t>In 2023, I conducted a survey on antimalarial drug use in Abakaliki, Nigeria, where I discovered that 35% of participants relied on self-medication. This was more than just a number, it reflected a gap in health access, misinformation, and policy implementation. Using Python and SPSS, I modelled the predictors of this behavior, uncovering key demographic risk factors. This experience was my first encounter with how modelling could transform raw data into life-saving insights.
That project opened my eyes to the larger role that data science can play in combating infectious diseases. In regions like sub-Saharan Africa, where infectious diseases remain a leading cause of death, I realized that accurate modelling is essential for proactive planning, especially when health systems are overburdened and data is fragmented.
I am deeply motivated to build on this foundation and specialize in disease modelling as a tool for pandemic preparedness and equitable health response. The G-WAC course aligns perfectly with my vision, to bridge local health data with predictive models that inform policy, guide interventions, and ultimately save lives. I want to be part of a generation of African scientists driving evidence-based decisions in global health.</t>
  </si>
  <si>
    <t xml:space="preserve">I want to participate in this course because it offers a rare opportunity to gain hands-on, Africa-focused training in disease modelling, which is critical to my growth as a global health researcher. My current work, ranging from AI-based prediction models for maternal health to modelling self-medication behaviors in malaria treatment, has shown me the transformative power of data-driven interventions. However, I recognize a gap in my formal training in advanced disease modelling, particularly in the context of pandemic preparedness, which this course is uniquely designed to fill.
Participating in the G-WAC course will equip me with the practical tools and interdisciplinary perspective needed to design models tailored to local realities, where data limitations often hinder effective responses. This is directly aligned with my long-term goal of becoming a leading researcher in infectious disease intelligence in Africa, capable of informing public health policy through predictive analytics and systems modelling.
The course’s emphasis on One Health, interdisciplinary collaboration, and real-world applicability strongly resonates with my vision to expand the work of my foundation and contribute to evidence-based, equitable health interventions across the continent.
</t>
  </si>
  <si>
    <t>https://drive.google.com/open?id=17wcF50QP2QrMBfaDc5IOW8rEKoJsv7od</t>
  </si>
  <si>
    <t>https://drive.google.com/open?id=1j1ZSiNnLjKfGliu4S_tuLmTBTylV5FGy</t>
  </si>
  <si>
    <t>I want to attend but I cant afford the fee</t>
  </si>
  <si>
    <t>https://drive.google.com/open?id=1C7mNXnrJ2nYKaOuXE_ASOnzjxPW0LyQH</t>
  </si>
  <si>
    <t>ogechi ofor</t>
  </si>
  <si>
    <t>wac program - ogechi ofor</t>
  </si>
  <si>
    <t>27/05/2025 08:29:01</t>
  </si>
  <si>
    <t>Gebremedhn</t>
  </si>
  <si>
    <t>Abraham</t>
  </si>
  <si>
    <t>abratekola@gmail.com</t>
  </si>
  <si>
    <t>+251921140615</t>
  </si>
  <si>
    <t>Armauer Hansen Research Institute</t>
  </si>
  <si>
    <t>Early carear health researcher</t>
  </si>
  <si>
    <t xml:space="preserve">During my training on Mendelian Randomization (MR) study design at KEMRI in Kenya, I had the opportunity to work hands-on with R programming for data analysis and modeling. The sessions focused on using genetic variants to understand causal relationships in public health, and I became familiar with R packages like Two Sample MR, MR Instruments, for conducting GWAS and MR analyses.
One project that stood out involved exploring whether there’s a causal link between body mass index (BMI) and type 2 diabetes. I used publicly available GWAS summary statistics to identify genetic instruments for BMI and applied two-sample MR techniques to test the association. I carried out data harmonization, checked the strength of instruments, and ran sensitivity analyses using MR-Egger and weighted median methods to ensure the findings were robust and not biased by pleiotropy.
This experience not only improved my skills in data manipulation, visualization (ggplot2), and statistical interpretation using R, but also deepened my understanding of genetic epidemiology and causal inference skills I continue to apply in my current work in epidemiological modeling and evidence synthesis.
</t>
  </si>
  <si>
    <t xml:space="preserve">During my Master’s thesis, I applied several quantitative methods to analyze the effect of diabetes mellitus on COVID-19 treatment outcomes. One key concept I used was binary logistic regression, which allowed me to model the relationship between multiple predictors (such as age, comorbidities, and diabetic status) and a binary outcome recovery or death. This helped identify factors significantly associated with poor outcomes in diabetic patients.
I also used a one-sample t-test to compare the mean hospital stay of COVID-19 patients against a known population mean, providing insights into whether diabetic patients had significantly longer hospital stays. Additionally, I applied probability for proportion to estimate and interpret the proportion of adverse outcomes among diabetic patients, helping quantify the risk in this subgroup.
These statistical tools were essential in guiding my conclusions and offering evidence-based recommendations for clinical management and public health strategies targeting high-risk patients.
</t>
  </si>
  <si>
    <t xml:space="preserve">My interest in infectious disease modelling stems from my journey as a public health researcher and my hands-on experience working on TB research projects in Ethiopia, where infectious diseases remain a major challenge. Seeing how these diseases affect communities especially the most vulnerable sparked a desire in me to explore smarter, data-driven solutions for prevention and control.
What draws me to modelling is its ability to turn complex data into practical insights that can shape public health decisions. During the COVID-19 pandemic, I saw how models were used to guide critical policies like when to impose lockdowns or how to distribute vaccines. It showed me how powerful accurate forecasting can be in saving lives and managing health crises.
Thanks to my training in epidemiology and my work with data analysis and biostatistics, I’ve built a solid foundation for engaging in this kind of work. I'm especially interested in using modelling to support better responses to diseases like TB and HIV in low-resource settings. For me, it's about using science to inform policy and ultimately improve the health and resilience of communities, both locally and globally.
</t>
  </si>
  <si>
    <t xml:space="preserve">I'm excited to take part in this course because it’s a chance to build on both my technical and practical skills in infectious disease modelling an area that strongly aligns with my current work and future ambitions. Working on TB research and coordination projects in Ethiopia, I’ve seen just how vital data-driven decision-making is, especially in settings where resources are limited. This course will give me the tools to better understand how diseases spread, assess the impact of interventions, and support more effective public health strategies.
Looking ahead, I aspire to become an independent epidemiologist who leads impactful research and helps shape health policies in high-burden countries. Learning more about modelling techniques and how they’re applied in real-world scenarios will help me bridge the gap between research and action. This training also ties in well with my background in epidemiology, my experience with statistical tools like R, Stata, and SPSS, and my training in Mendelian randomization.
Ultimately, joining this course will help me make a more meaningful contribution to global health and support the development of local expertise in disease modelling and surveillance back home in Ethiopia.
</t>
  </si>
  <si>
    <t>https://drive.google.com/open?id=17H6DEIoGOU6a43lBkZNm21JAn9nV6_dg</t>
  </si>
  <si>
    <t>https://drive.google.com/open?id=1WVz9wZF1J0bgi985m0tooM2PD5J1rXMQ</t>
  </si>
  <si>
    <t>https://drive.google.com/open?id=168iYqIytfHZfOlTDhJEr50owOAzLi21d</t>
  </si>
  <si>
    <t>abraham gebremedhn</t>
  </si>
  <si>
    <t>27/05/2025 10:14:08</t>
  </si>
  <si>
    <t xml:space="preserve">Nana Safo </t>
  </si>
  <si>
    <t>Duker</t>
  </si>
  <si>
    <t>freshsafoduker3@gmail.com</t>
  </si>
  <si>
    <t>+233242337086</t>
  </si>
  <si>
    <t xml:space="preserve">Elite Research and Data Science Institute - ERDSI </t>
  </si>
  <si>
    <t xml:space="preserve">Data Scientist </t>
  </si>
  <si>
    <t xml:space="preserve">My experience in data analysis and modelling with background AI/ML, Bioinformatics, Precision Medicine, Cancer Research, and Genomic Data Analysis, primarily leverages Python and R 
I utilize both for computational biology, statistical modeling, and deep learning. I’m also proficient with tools such as scikit-learn, TensorFlow, Bioconductor, and Pandas for processing high-dimensional omics data.
A significant problem I've tackled involves predicting drug response in cancer patients using genomic data. I developed a deep learning model with TensorFlow/Keras to predict drug response based on a tumor's genomic profile, including gene expression and mutation status. I used TensorFlow/Keras to build a multi-layer neural network, taking normalized genomic features as input and outputting a continuous drug response score.
This required extensive data wrangling with Pandas to integrate diverse genomic data (e.g., RNA-seq, somatic mutations from TCGA) and robust feature engineering. The model allowed us to move beyond simple biomarkers, capturing complex interactions between genomic alterations to personalize cancer treatment strategies.
Additionally, I’ve used R and Bioconductor packages like DESeq2 for differential gene expression analysis in precision oncology studies, stratifying patients based on therapeutic response.
This foundation equips me well for advanced modelling challenges in infectious disease research.
</t>
  </si>
  <si>
    <t xml:space="preserve">In line of my work within AI/ML and Bioinformatics, Regression Analysis stands out as a fundamental quantitative concept I've extensively applied. At its core, regression is a statistical method used to model the relationship between a dependent variable and one or more independent variables. 
While simple linear regression models a straight line relationship, my work frequently involves more complex, non-linear forms, particularly in the context of deep learning.
Specifically, in predicting cancer drug response from genomic data, gene expression levels or drug sensitivity scores are continuous variables. 
My objective was to predict these continuous outcomes based on numerous genomic features (independent variables). Here, regression analysis was not just a tool but the framework for the predictive modeling task.
For instance, when building the deep learning model with TensorFlow/Keras, the final layer of the neural network is configured for regression, and the Mean Squared Error (MSE) is used as the loss function. 
MSE is a direct application of regression principles, quantifying the average squared difference between the predicted continuous drug response and the actual observed response. Minimizing MSE during model training is essentially performing a sophisticated, high dimensional non-linear regression.
This concept informed my analysis by:
&gt; Framing the Problem: It allowed me to define the drug response prediction as a continuous output problem, moving beyond binary classification (e.g., responder/non-responder) to provide a more nuanced, quantitative score of likely efficacy.
&gt; Guiding Model Design: Knowing it was a regression task dictated the choice of activation functions in the output layer (e.g., linear) and appropriate loss functions (e.g., MSE, MAE) for continuous variable prediction.
&gt; Enabling Performance Evaluation: Metrics like Root Mean Squared Error (RMSE) and Pearson Correlation Coefficient (R) are direct measures derived from regression analysis, providing clear quantitative assessment of how well my model's predictions align with the actual biological outcomes. 
A high 'R' value indicated strong correlation, while a low RMSE confirmed minimal prediction error, directly informing the model's utility in precision medicine for cancer patients.
This robust application of regression allowed me to build predictive models that offer granular insights into drug efficacy, crucial for personalizing cancer treatment.
</t>
  </si>
  <si>
    <t xml:space="preserve">My motivation for infectious disease modeling, especially its application to public and global health, stems from a profound understanding of its real-world impact. 
Worked extensively with genomic data in Cancer Research and Precision Medicine, I recognize the power of quantitative methods to uncover hidden biological insights and predict complex phenomena. 
Infectious diseases present an even more dynamic and urgent challenge, where the consequences of inaction or misguided interventions are immediate and widespread, as painfully highlighted by the COVID-19 pandemic.
The opportunity to leverage my AI/ML and Bioinformatics skills in drug response prediction, model disease transmission, forecast outbreaks is all about translating complex epidemiological data into actionable intelligence for public health decision-makers. 
With background in AI/ML, bioinformatics and precision medicine, I’m fascinated by how computational models when combined with real world data can reveal hidden dynamics in disease transmission, identify high risk populations, and forecast the impact of various interventions. 
I see infectious disease modelling as a bridge between science and action. It empowers policymakers, researchers, and communities with insights that can save lives. 
Participating in this program would allow me to enhance my technical skills while contributing to data informed strategies that promote global health and pandemic preparedness in Africa.
</t>
  </si>
  <si>
    <t xml:space="preserve">
I am eager to participate in the G-WAC Disease Modelling for Pandemic Preparedness and Response course because it bridges my expertise with a critical global health need. 
With a background in AI/ML, Bioinformatics, Precision Medicine, and Cancer Research, I bring strong quantitative and computational skills, particularly in genomic data analysis and predictive modelling. 
This course offers an opportunity to adapt these skills to infectious disease modelling and public health.
I aim to strengthen my ability to integrate genomic, epidemiological, and real-time data for infectious disease forecasting. Working at the intersection of bioinformatics and precision health, I understand the urgent need for interdisciplinary approaches to address emerging infectious threats especially in African contexts where resources are limited but the impact is profound.
This training aligns with my long term goal of advancing data-driven strategies for epidemic forecasting, equitable vaccine access, and genomic surveillance. I am interested in learning dynamic transmission models and real-time inference methods that inform effective public health interventions.
G-WAC’s emphasis on regional relevance, collaboration, and practical application resonates with my commitment to scalable, locally grounded solutions. 
My participation will be a pivotal step in my journey to become a leader in pandemic preparedness and computational public health.
</t>
  </si>
  <si>
    <t>https://drive.google.com/open?id=1ozOzq65877nH7_bl-lYZkNEOgSv5IonB</t>
  </si>
  <si>
    <t>https://drive.google.com/open?id=1DtxoKcR6L6fwtXBpy8xcezgJNg5TLC6B</t>
  </si>
  <si>
    <t>https://drive.google.com/open?id=1hJNAMJEiRck2U89w9r7-_ZCXEjuLGUj-</t>
  </si>
  <si>
    <t>duker nana safo</t>
  </si>
  <si>
    <t>nana safo duker</t>
  </si>
  <si>
    <t>27/05/2025 10:43:30</t>
  </si>
  <si>
    <t>Ashuro</t>
  </si>
  <si>
    <t>Akililu Alemu</t>
  </si>
  <si>
    <t>akililu.alemu@ahri.gov.et</t>
  </si>
  <si>
    <t>+251910793782</t>
  </si>
  <si>
    <t xml:space="preserve">Researcher </t>
  </si>
  <si>
    <t>With extensive experience in programming and data science, I specialize in leveraging tools like Python, R, SPSS, STATA, MATLAB, and standardized frameworks such as OMOP Common Data Model (CDM) to advance data-driven health research. My work centers on enhancing data quality, reproducibility, and analytical rigor, particularly in healthcare contexts.
A key accomplishment includes leading a hackathon project focused on AI-powered anomaly detection and patient record linkage between fragmented datasets, such as Health Demographic Surveillance Sites (HDSS) and clinical databases. By developing machine learning models in Python and R, I enabled precise identification of data inconsistencies and accurate cross-dataset patient matching, resolving critical integration challenges.
To ensure interoperability, I standardized these datasets using OMOP CDM, aligning them with global health data norms. I also implemented GitHub-based version control and collaborative workflows, fostering transparency and reproducibility across teams. This effort not streamlined data usability but also established a scalable foundation for population-level health analytics, demonstrating the transformative potential of integrating AI, open-source tools, and standardized frameworks in public health innovation.</t>
  </si>
  <si>
    <t>In my public health research, I utilize quantitative methods like meta-analysis and regression to extract actionable insights from complex datasets. For example, I performed a meta-analysis of tuberculosis (TB) prevention research in Addis Ababa, aggregating data from various sources with R and STATA to assess community-based screening and preventive strategies. By calculating pooled effect sizes, analyzing heterogeneity (using I² statistics), and addressing publication bias, I developed evidence-based recommendations to improve early detection methods in urban environments. My use of regression analysis further highlights this methodology: in a study on Early Childhood Development (ECD) in Oromia and Dire Dawa, I applied multiple linear regression to measure how caregiver education, household income, and child nutrition together influence developmental outcomes, guiding cross-sectoral initiatives. Similarly, in an HIV risk assessment in Addis Ababa, logistic regression revealed predictors of vulnerability as gaps in prevention knowledge and socio-economic obstacles-informing targeted outreach initiatives for adolescents and young adults. Together, these techniques have allowed me to systematically quantify relationships, assess evidence quality, and formulate context-specific recommendations that enhance public health outcomes across Ethiopia’s diverse communities.</t>
  </si>
  <si>
    <t>Infectious disease modeling captivates me because of its transformative potential to bridge data and action in public health. This approach is indispensable for decoding transmission dynamics, predicting outbreaks, and stress-testing interventions before implementation in regions like Ethiopia, where contagious diseases remain a persistent burden. By simulating scenarios and optimizing resource allocation, modeling empowers policymakers to act decisively, even in data-scarce environments. My hands-on experience with TB prevention, HIV risk assessments, and COVID-19 initiatives has underscored how modeling complements traditional research. For example, while analyzing TB screening programs in Addis Ababa, I combined empirical data with transmission models to project the long-term impact of community-based interventions. Similarly, in HIV research, integrating statistical findings with predictive models helped identify high-priority populations for targeted outreach. These applications demonstrate modeling’s unique ability to turn retrospective insights into forward-looking strategies. What drives me most is modeling’s dual role in crisis response and systemic resilience. During emergencies, it provides real-time guidance for outbreak containment; in calmer periods, it strengthens preparedness for threats like antimicrobial resistance or future pandemics. My goal is to advance modeling frameworks that are both methodologically robust and deeply contextual, ensuring they reflect local realities while contributing to global health equity.</t>
  </si>
  <si>
    <t>The Disease Modelling for Pandemic Preparedness and Response 2025 course is a critical step toward advancing my mission to combat infectious diseases through data-driven innovation. In my role coordinating Ethiopia’s Pandemic Preparedness Project, we are tackling urgent challenges—from preparing for “Disease X” to optimizing vaccine rollout strategies—where advanced modeling frameworks are essential to simulate outbreaks, allocate resources, and prioritize interventions. This course directly addresses gaps in our current work by equipping me with cutting-edge skills to model transmission dynamics, evaluate intervention trade-offs, and integrate real-time surveillance data, all of which are vital for strengthening predictive accuracy and evidence-based decision-making.
Beyond technical mastery, the program’s global perspective will accelerate my long-term goal of building a resilient public health ecosystem in Ethiopia—one that harmonizes local realities with international best practices. By learning from global experts and collaborating with peers, I aim to refine strategies for balancing limited resources with population-level risks, ensuring agile crisis response and sustainable systemic preparedness.
Ultimately, this training will empower me to bridge the gap between theoretical models and actionable policies, positioning Ethiopia—and similar regions—to lead in equitable, data-driven pandemic preparedness.</t>
  </si>
  <si>
    <t>https://drive.google.com/open?id=1km955vmVnX861ORBou6hFZUcJnpBi4sw</t>
  </si>
  <si>
    <t>https://drive.google.com/open?id=1prfSOXKrjWS_xQ95fZpqujdgYp67WQLd</t>
  </si>
  <si>
    <t>https://drive.google.com/open?id=1wFbGWdwNplCek2VfQNFgUxz0JnrBg5bw</t>
  </si>
  <si>
    <t>akililu alemu ashuro</t>
  </si>
  <si>
    <t>27/05/2025 13:28:04</t>
  </si>
  <si>
    <t>Anthonio</t>
  </si>
  <si>
    <t>Oladimeji</t>
  </si>
  <si>
    <t xml:space="preserve">Gabriel </t>
  </si>
  <si>
    <t>anthoniooladimeji11@gmail.com</t>
  </si>
  <si>
    <t>+2347017392391</t>
  </si>
  <si>
    <t>Center for Excellence in Modelling Population Health and Enviroment Risks(CEMPHER)</t>
  </si>
  <si>
    <t>Machine Learning/Artificial Intelligence Expert</t>
  </si>
  <si>
    <t>I extensively use Python for sophisticated data analysis and predictive modelling, deploying a comprehensive suite of tools. In the Mama-Kid project, I leveraged Pandas and NumPy for preprocessing complex anthropometric and dietary datasets from over 1,200 mothers in rural OYO STATE. Employing Scikit-learn, I developed, validated, and fine-tuned machine learning classification models (Logistic Regression, Random Forests, SVM) to accurately predict child malnutrition risk. This robust modelling was pivotal, directly achieving a 34% improvement in early intervention outcomes by identifying at-risk children, demonstrating a critical public health impact by enabling timely nutritional support. My analytical expertise also includes deep learning using Keras and PyTorch for developing Convolutional Neural Networks (CNNs) for nutritional status classification from anthropometric indicators. I am proficient with SQL for database management, R for statistical analysis, and cloud platforms like AWS for building robust data pipelines and scalable model deployment.</t>
  </si>
  <si>
    <t>Time-series forecasting was a key quantitative method I applied to systems-level challenges through Aevum Market, an AI/ML-driven platform that addresses post-harvest losses. Our team placed 2nd out of 466 teams in the Innovate Africa Wicked Problems Challenge, earning $25,000. The platform ultimately reduces food spoilage, improving food safety, and ensuring more reliable access to nutritious food, which is essential for preventing disease across communities.
In addition, I applied probabilistic modeling within Partially Observable Markov Decision Processes (POMDPs) for a research project titled “Partially Observable Reinforcement Learning for Hidden Food Insecurity Patterns in FIES Nigeria Data,” published in Current Developments in Nutrition (ASN). This approach allowed us to infer hidden states of food insecurity from incomplete survey data by modeling uncertainty in state transitions and observations. Using reinforcement learning, we identified latent patterns contributing to persistent food insecurity, providing insights to better target interventions.
Furthermore, I employed regression analysis to develop an AI-powered nutrition chatbot supported by a $5,000 MN (Moon) Award. Multiple linear regression models predicted nutrient needs and deficiencies based on user inputs such as age, weight, and dietary habits, using national nutrition survey data. This enabled the chatbot to deliver personalized, culturally relevant nutrition</t>
  </si>
  <si>
    <t>My interest in infectious disease modelling didn’t begin in a lab, it started in rural Nigeria, watching mothers struggle with what to feed their children during outbreaks. At the time, I was building an AI-powered chatbot that offered real-time nutrition advice in local languages. Behind that tool were regression models trained on national health data. But what struck me wasn’t just the tech , it was seeing how information could shape life-or-death decisions in homes with no doctors nearby.
Later, through Aevum Market, we applied time-series forecasting to reduce food spoilage and improve cold storage access for farmers. This work recognized in the Innovate Africa Wicked Problems Challenge was more than just solving logistics. It was about keeping food nutritious and safe, especially in places where a minor outbreak could spread rapidly due to poor diet and weakened immunity.
That’s why infectious disease modelling matters to me. It’s not just about predicting the next outbreak. It’s about seeing the full picture: how poverty, malnutrition, and broken systems make certain communities more vulnerable. With a background in nutrition and applied Machine learning and Artificial Intelligence, I’m driven to build models that don’t just simulate disease   but help us intervene early, equitably, and with impact.</t>
  </si>
  <si>
    <t>Working at the forefront of AI for health here in Nigeria, I've seen firsthand the incredible power of data in transforming nutritional outcomes and bolstering food security. Yet, I've also recognized a critical gap in my ability to apply these skills to the fast-evolving threats of infectious diseases that deeply impact our communities. That’s why this G-WAC course on Disease Modelling isn't just a line on a CV for me; it feels like the essential bridge to amplifying my impact. I'm eager to gain that rigorous grounding in epidemiological modelling and learn to build sophisticated, yet practical, systems specifically designed for the complexities of pandemic preparedness in West Africa.
My core ambition is to translate advanced modelling into tangible, life-saving tools for public health decision-makers right here in Nigeria and across our region. I don’t just want to publish papers; I want to build robust early-warning systems that are truly sensitive to our local realities, systems that could, for example, innovatively integrate nutritional vulnerability data to provide smarter, more equitable predictions. Ultimately, I aim to be a direct conduit between cutting-edge data science and effective, on the ground public health action. This G-WAC program, with its emphasis on real-world application and fostering a strong regional network, feels uniquely designed to equip me to become that bridge and contribute meaningfully to protecting our communities.</t>
  </si>
  <si>
    <t>https://drive.google.com/open?id=1Z64f4LXv7TnYJeSb0wlboHTpweuAH58x</t>
  </si>
  <si>
    <t>https://drive.google.com/open?id=1jKahi0tDllI1agFgno1VGXiClemvGKN3</t>
  </si>
  <si>
    <t>https://drive.google.com/open?id=1P8kKRAtZi21GS_PzerMFu7uqiL6vnqKE</t>
  </si>
  <si>
    <t>oladimeji anthonio</t>
  </si>
  <si>
    <t>27/05/2025 16:54:03</t>
  </si>
  <si>
    <t>Côte d'Ivoire</t>
  </si>
  <si>
    <t>Jean-Yves</t>
  </si>
  <si>
    <t>EKRA</t>
  </si>
  <si>
    <t>ekrajeanyves@gmail.com</t>
  </si>
  <si>
    <t>+2250777218960</t>
  </si>
  <si>
    <t>Peleforo Gon Coulibaly University</t>
  </si>
  <si>
    <t>Researcher-Lecturer</t>
  </si>
  <si>
    <t>I used R version 4.2.0 for statistical analysis and data modelling in my research on animal trypanosomiasis. To visualize spatial distribution, I employed ArcGIS 9.3 and QGIS 4.6 to generate prevalence maps. For inferential statistics, I applied the Chi-square test to assess associations between infection status and potential risk factors. To identify variables significantly associated with infection, I performed a mixed logistic regression. The infection status (infected = 1, not infected = 0) was treated as a Bernoulli response variable. The model accounted for random effects using the animal ID as the random factor, while fixed effects included packed cell volume (PCV), breed, region, department, age, and sex. The initial model structure was:
Logit(p) = β + Ani + Pj + Rak + Rel + Dem + Agn + Seo + £ijklmno.
This approach helped determine the influence of host and environmental factors on trypanosome infection, improving our understanding of its epidemiological drivers.</t>
  </si>
  <si>
    <t>In my research on animal trypanosomiasis, I applied mixed logistic regression, a quantitative modelling approach handy for analyzing binary outcomes with both fixed and random effects. The model's response variable was each animal's infection status, defined as a Bernoulli random variable (1 = infected, 0 = not infected). This allowed us to model the probability (p) of infection based on multiple explanatory variables while accounting for clustering in the data.
Using R version 4.2.0, I built a model with the following structure: Logit(p) = β + Ani + Pj + Rak + Rel + Dem + Agn + Seo + £ijklmno
This mixed-effects approach was necessary to address the hierarchical structure of the data, where multiple observations came from different animals, locations, and categories. To evaluate the contribution of each explanatory variable, we used likelihood ratio tests, fitting models through maximum likelihood estimation. We also compared models using the Akaike Information Criterion (AIC) to select the most parsimonious model with the best fit.
Additionally, I used ANOVA to compare mean PCV values across different trypanosome species. This informed our understanding of the clinical impact of each species on animal health. These quantitative methods provided robust statistical evidence linking infection risk to biological and environmental factors, improving the reliability of our findings.</t>
  </si>
  <si>
    <t>My interest in infectious disease modelling is driven by its critical role in understanding disease dynamics and informing effective control strategies, particularly in resource-limited settings. During my work on animal trypanosomiasis, I applied statistical modelling to assess the impact of various biological and environmental risk factors on infection prevalence. By using mixed logistic regression models, I was able to quantify the influence of variables such as packed cell volume (PCV), breed, region, age, and sex on disease risk. This approach not only helped identify high-risk animal populations but also provided evidence to guide targeted interventions.
Infectious disease modelling allows us to move beyond descriptive statistics and make data-driven predictions about disease spread, persistence, and response to interventions. In the case of trypanosomiasis, such models can support the development of early warning systems, optimize surveillance, and improve vector control programs. Ultimately, I am motivated by the potential of these tools to bridge the gap between research and policy, and to contribute meaningfully to public and global health by reducing the burden of infectious diseases in both animals and humans</t>
  </si>
  <si>
    <t>I want to participate in this course to strengthen my skills in infectious disease modelling, which is essential for advancing my research and contributing more effectively to public and animal health. My previous work on animal trypanosomiasis involved the use of statistical models to understand risk factors and guide disease control strategies. This experience highlighted the power of modelling in uncovering complex disease dynamics.
Currently, I am leading a new project on tick-borne diseases, which poses emerging threats to livestock and potentially to human health. These diseases are often underreported, and their transmission dynamics are influenced by multiple interacting factors, including climate, host behavior, and vector ecology. To effectively assess these risks and propose sustainable control measures, I need advanced training in infectious disease modelling.
Participating in this course will equip me with the theoretical and practical tools to model vector-borne diseases more accurately, improve surveillance systems, and inform evidence-based interventions. It aligns with my long-term goal of becoming a regional expert in zoonotic disease research and supporting national and regional strategies for disease prevention and control.</t>
  </si>
  <si>
    <t>https://drive.google.com/open?id=1a_8Hb9SpkojBispSp9617XKSSjdqieBG</t>
  </si>
  <si>
    <t>https://drive.google.com/open?id=1KyQNsTNDp0I3BLaOzSRe__DAqe8OUH-F</t>
  </si>
  <si>
    <t>https://drive.google.com/open?id=1GOvZwtVk4OuEDBZhmj-oZWMjjQ1SNCXr</t>
  </si>
  <si>
    <t>ekra jean-yves</t>
  </si>
  <si>
    <t>ekra jean yves</t>
  </si>
  <si>
    <t>27/05/2025 18:26:35</t>
  </si>
  <si>
    <t>Okesanya</t>
  </si>
  <si>
    <t>Olalekan</t>
  </si>
  <si>
    <t>John</t>
  </si>
  <si>
    <t>okesanyaolalekanjohn@gmail.com</t>
  </si>
  <si>
    <t>+2348130307211</t>
  </si>
  <si>
    <t>Neuropsychiatric Hospital, Aro, Abeokuta, Nigeria</t>
  </si>
  <si>
    <t>I have gained practical experience using Python and R for data analysis and modeling in public health research. These programming tools have been essential for managing large datasets, performing statistical analyses, and visualizing complex relationships in epidemiological studies. I primarily use Python (with libraries such as Pandas, NumPy, SciPy, and scikit-learn) for data cleaning, exploratory data analysis, and machine learning modeling. R, particularly with packages like tidyverse, ggplot2, and caret, is my preferred tool for advanced statistical modeling and data visualization. One notable example of a problem I solved involved analyzing survey data on vaccine hesitancy in rural Nigerian communities. Using Python, I cleaned and structured the dataset, then applied logistic regression to identify key predictors of vaccine refusal. The analysis revealed that lack of education and exposure to misinformation were significant barriers. I visualized these findings in R to clearly communicate results to stakeholders and inform community-specific interventions. 
This experience strengthened my ability to translate raw health data into actionable insights using programming tools. It also demonstrated how data-driven approaches can guide targeted public health strategies, making me well-prepared to contribute to multidisciplinary projects that require analytical and computational skills.</t>
  </si>
  <si>
    <t xml:space="preserve">One key quantitative concept I have applied in my work is logistic regression, a fundamental statistical technique used to model the relationship between a binary outcome variable and one or more predictor variables. Logistic regression is particularly useful in public health research for understanding factors associated with the presence or absence of health outcomes, such as disease status, health behavior, or service utilization. In one of my recent projects on vaccine hesitancy among rural populations in Nigeria, I used logistic regression to identify the determinants of vaccine refusal. The dependent variable was binary (acceptance vs. refusal of vaccination), while independent variables included factors such as education level, access to healthcare facilities, exposure to misinformation, and trust in health authorities. By applying logistic regression, I was able to quantify the strength and direction of association between each predictor and the likelihood of vaccine refusal. For instance, the model showed that individuals with no formal education were significantly more likely to refuse vaccination (Odds Ratio &gt; 1, p &lt; 0.05). This insight guided the recommendation for targeted health education interventions aimed at low-literacy communities. Additionally, I assessed model fit using pseudo R-squared values and validated the model with a test dataset to ensure predictive accuracy. The findings were presented using odds ratios and confidence intervals, making the results interpretable for non-technical stakeholders. This application of logistic regression not only deepened my understanding of statistical modeling but also demonstrated how quantitative methods can directly inform public health policy and intervention strategies. It reinforced the importance of data-driven decision-making in addressing real-world health challenges.
</t>
  </si>
  <si>
    <t xml:space="preserve">My interest in infectious disease modelling is driven by its powerful role in informing public health decisions and shaping effective responses to disease outbreaks. As a molecular scientist and public health researcher, I have seen how data-driven models can predict disease spread, evaluate intervention strategies, and allocate limited resources more efficiently especially in low- and middle-income countries like Nigeria. What excites me most is the ability of modelling to translate complex biological and epidemiological dynamics into actionable insights. For example, during outbreaks of diseases like COVID-19 or Lassa fever, models provide critical forecasts that help policymakers implement timely containment strategies. This is particularly important in settings with fragile health systems, where strategic planning can save countless lives. Incorporating modelling into my work enhances my capacity to contribute to early warning systems, vaccine deployment planning, and health systems preparedness. It aligns with my career goal of becoming a leader in global health research focused on infectious disease control. I am motivated by the potential to use modelling not just to understand disease dynamics but to drive equitable and impactful public health solutions on a national and global scale.
</t>
  </si>
  <si>
    <t xml:space="preserve">I am eager to participate in this course because it offers a unique opportunity to deepen my knowledge and skills in infectious disease modelling, a critical area of global health that directly aligns with my academic background and future career goals. As a molecular and public health scientist, I have seen the value of modelling in predicting outbreaks, informing policy, and optimizing resource allocation during public health emergencies. This course will provide me with advanced training in quantitative methods and real-world applications of modelling in disease control, which I plan to integrate into my research on vaccine-preventable diseases and epidemic preparedness in low-resource settings. It also complements my ongoing Master of Public Health program and my long-term ambition of contributing to global infectious disease research, especially in sub-Saharan Africa. By equipping me with the tools to build and interpret disease models, this course will enable me to support evidence-based policymaking, develop early warning systems, and contribute to health system strengthening. Participating in this course is a crucial step toward becoming a regional leader in infectious disease forecasting and public health innovation.
</t>
  </si>
  <si>
    <t>https://drive.google.com/open?id=1KARi_Mu6ZN2T_JATVzcad4bdoLZTjleX</t>
  </si>
  <si>
    <t>https://drive.google.com/open?id=1B-82u1BygVaM9_mOmrewL1Taeo3dqxdC</t>
  </si>
  <si>
    <t>I have registered for the conference</t>
  </si>
  <si>
    <t>I have submitted my abstract</t>
  </si>
  <si>
    <t>https://drive.google.com/open?id=1EORXXgMoGD2ksWmFZ6uEZdRBuK-q86ZM</t>
  </si>
  <si>
    <t>olalekan okesanya</t>
  </si>
  <si>
    <t>27/05/2025 19:12:58</t>
  </si>
  <si>
    <t>Olajide</t>
  </si>
  <si>
    <t>Oluwole</t>
  </si>
  <si>
    <t>Babatunde</t>
  </si>
  <si>
    <t>ob.olajide@gmail.com</t>
  </si>
  <si>
    <t>+2348166171267</t>
  </si>
  <si>
    <t>University of Ibadan/DATICAN</t>
  </si>
  <si>
    <t>PhD Researcher/DATICAN</t>
  </si>
  <si>
    <t>I have extensive experience using Python for data analysis and modeling, especially within healthcare research. My primary tools include Python libraries such as pandas for data handling, NumPy for numerical computations, matplotlib and seaborn for data visualization, and PyTorch and scikit-learn for machine learning.
A significant project I led involved developing a machine learning model to classify hemoglobin levels in children with Sickle Cell Anemia. I used OpenCV for image preprocessing and PyTorch for model development. This project won three awards at the Lagos State University Research and Innovation Fair, recognizing its innovation and impact in medical diagnostics.
In another project, I built a classification model to detect pneumonia from pediatric chest X-rays. The model aimed to assist early diagnosis using deep learning techniques and was well-received for its practical healthcare application. This work earned a nomination for presentation at the prestigious DSA Conference holding in Ibadan, Nigeria for June 2 – 6, 2025.
These experiences highlight my ability to use programming for solving complex, real-world problems and driving meaningful, data-driven solutions in health research.</t>
  </si>
  <si>
    <t>One key quantitative concept I frequently apply in my work is logistic regression, a statistical method used for modeling the probability of a binary outcome based on one or more independent variables. It is particularly effective in classification tasks where the goal is to predict whether an event will occur or not, such as disease presence, customer churn, or loan default.
In one of my research projects on Sickle Cell Anemia (SCA), I applied logistic regression to analyze the relationship between hemoglobin levels and various patient characteristics, including age, weight, oxygen saturation, and chest X-ray patterns. The objective was to predict the likelihood of a patient having severe anemia. Logistic regression was ideal because it provided both the probability estimates and the significance of each predictor variable.
By interpreting the model coefficients and p-values, I was able to identify which clinical features had the most influence on anemia severity. For example, low oxygen saturation and abnormal chest radiograph patterns had strong positive associations with severe anemia. This insight helped guide the design of a more targeted deep learning model that emphasized the most predictive features.
In another case, while building a pneumonia classification model using chest X-ray images, logistic regression served as a baseline for performance comparison against more complex models like Convolutional Neural Networks. It helped demonstrate the added value of deep learning by highlighting the limitations of traditional linear approaches in handling image data.
Overall, logistic regression has been instrumental in both exploratory analysis and predictive modeling. It offers interpretability, helps validate hypotheses, and serves as a solid foundation for more advanced machine learning techniques in my work.</t>
  </si>
  <si>
    <t>My interest in infectious disease modelling is driven by its critical role in shaping timely, data-driven decisions that save lives and protect communities. The COVID-19 pandemic underscored how mathematical and computational models can guide public health interventions, forecast outbreaks, and optimize resource allocation. I am particularly motivated by the opportunity to use data science to support vulnerable populations and strengthen health systems, especially in resource-limited settings.
What excites me most is the potential to bridge the gap between complex scientific models and real-world decision-making. Through collaboration with public health professionals and policymakers, infectious disease modelling becomes more than an academic exercise but becomes a tool for equity, prevention, and resilience in global health. This intersection of data, impact, and public service fuels my passion and long-term commitment to contributing to this vital field.</t>
  </si>
  <si>
    <t>I am eager to participate in the Disease Modelling for Pandemic Preparedness and Response 2025 course because it offers a unique opportunity to deepen my expertise in using quantitative methods to address global health challenges. As a PhD student working at the intersection of artificial intelligence and healthcare, I am committed to applying data science to real-world public health issues, particularly in infectious disease surveillance and control.
This course aligns perfectly with my long-term goal of contributing to the development of data-driven health systems in Africa. By gaining practical skills in epidemic forecasting, transmission modeling, and intervention analysis, I will be better equipped to support evidence-based policymaking and resource allocation in outbreak settings. The interdisciplinary nature of the course, combining epidemiology, statistics, and public health, resonates with my research and career aspirations.
Participating in this program will also enable me to collaborate with global experts and peers, fostering networks that are essential for tackling transnational health threats. Ultimately, this course will empower me to contribute meaningfully to pandemic preparedness and response efforts, both in Nigeria and globally, by bridging the gap between data science and public health impact.</t>
  </si>
  <si>
    <t>https://drive.google.com/open?id=1KPbvBetB6wiNU-05LvhPKSyAgxM_0wwt</t>
  </si>
  <si>
    <t>https://drive.google.com/open?id=1dV69BDLTGXrioEVxhOJKheeH_6ur2U4S</t>
  </si>
  <si>
    <t>https://drive.google.com/open?id=1Ir0uC_WyliOTaptFra00N6LG0i3bHTPn</t>
  </si>
  <si>
    <t>oluwole olajide</t>
  </si>
  <si>
    <t>27/05/2025 19:50:29</t>
  </si>
  <si>
    <t>Haruna</t>
  </si>
  <si>
    <t>Muhyiddin</t>
  </si>
  <si>
    <t>Muhd</t>
  </si>
  <si>
    <t>mmharuna36@gmail.com</t>
  </si>
  <si>
    <t>+2347069059586</t>
  </si>
  <si>
    <t xml:space="preserve">Options Consultancy Services </t>
  </si>
  <si>
    <t>Public Servant</t>
  </si>
  <si>
    <t>I have extensive experience using SPSS, STATA, Excel, and Power BI for data analysis in public health research and program implementation. During my MSc dissertation on HPV vaccination among adolescent girls in Kano State, I used SPSS to perform descriptive and inferential statistical analyses, including chi-square tests and logistic regression, to identify predictors of vaccine uptake.
While working with the National Malaria Elimination Programme (NMEP), I employed STATA to analyze malaria surveillance data across states, identifying trends and gaps in reporting that guided programmatic decisions. I also used Excel for data cleaning and Power BI to create interactive dashboards that visualized key indicators for decision-makers.
One notable example was developing a real-time dashboard in Power BI to monitor zero-dose children in Kano State. This helped identify underserved areas, enabling targeted outreach and improved immunization coverage.
These tools have been crucial in transforming raw data into actionable insights. I am eager to build on this foundation by integrating disease modelling approaches to support pandemic preparedness and response strategies.</t>
  </si>
  <si>
    <t>One quantitative concept I have extensively used in my work and studies is logistic regression, particularly in analyzing binary health outcomes. This method has been instrumental in my MSc research and programmatic work, enabling me to determine associations between independent variables and dichotomous outcomes.
In my MSc dissertation, which focused on the correlates of knowledge and HPV vaccination uptake among adolescent girls in Kano State, I applied binary logistic regression using SPSS to identify significant predictors of vaccination status (vaccinated vs. not vaccinated). The independent variables included age, school type, parental education, and awareness of HPV. Logistic regression allowed me to estimate the odds ratios (ORs) and 95% confidence intervals (CIs), providing insight into the strength and direction of associations.
The findings revealed, for instance, that girls attending private schools and those whose mothers had higher educational attainment were significantly more likely to be vaccinated. These insights were critical in shaping recommendations for targeted awareness campaigns in public schools and communities with low maternal literacy.
Similarly, while working with the National Malaria Elimination Programme, I used STATA to apply logistic regression in analyzing routine surveillance data. This helped identify factors associated with poor malaria reporting performance across Local Government Areas, which informed targeted supervision and resource allocation.
Using logistic regression has deepened my understanding of how social and structural determinants influence health outcomes. It has also enhanced my ability to interpret statistical results in a way that directly informs policy and program design. I look forward to applying and expanding this knowledge through disease modelling for pandemic preparedness, particularly in assessing risk factors and evaluating the impact of various interventions.</t>
  </si>
  <si>
    <t>My interest in infectious disease modelling stems from my frontline experience in public health, particularly during my work with the National Malaria Elimination Programme (NMEP) and my current involvement in routine immunization and outbreak response in Kano State. I have seen firsthand how data-driven strategies can transform health outcomes, especially in resource-limited settings.
What motivates me most is the potential of modelling to predict disease trends, simulate interventions, and guide evidence-based decision-making. In regions like northern Nigeria, where health systems face challenges in reaching underserved populations, modelling can help identify high-risk areas, optimize resource allocation, and support outbreak preparedness and response.
Additionally, my academic training in global health has exposed me to the importance of timely, strategic responses to infectious diseases—something the COVID-19 pandemic further underscored. I see disease modelling as a powerful tool to bridge the gap between data and action, enabling policymakers to act proactively rather than reactively.
Participating in this programme will help me build the technical capacity needed to apply modelling approaches to real-world problems, ultimately contributing to more resilient health systems and better outcomes for vulnerable populations.</t>
  </si>
  <si>
    <t>I want to participate in this course because it offers a unique opportunity to gain practical skills in infectious disease modelling—an area that is increasingly vital for effective public health planning and outbreak response. As someone working on routine immunization, malaria control, and zero-dose identification in Kano State, I understand the value of predictive tools in informing timely and targeted interventions.
This course aligns perfectly with my long-term goal of becoming a global health specialist with expertise in disease modelling and health systems strengthening. I aspire to support national and subnational governments in designing data-driven policies that improve health outcomes, especially in underserved communities. The knowledge and networks I gain from this course will enhance my capacity to contribute to pandemic preparedness, optimize resource allocation, and support disease elimination programmes such as those targeting malaria, measles, and diphtheria.
Moreover, learning from global experts and collaborating with peers will deepen my technical competence and broaden my perspective on how modelling can be applied across different health contexts. This course is a critical step in equipping me with the tools needed to turn data into action and drive evidence-informed decision-making in public health.</t>
  </si>
  <si>
    <t>https://drive.google.com/open?id=1gN1_kg8SfWk47gMR247aujrce7m8rtX4</t>
  </si>
  <si>
    <t>https://drive.google.com/open?id=1W34uVcrk7LeKOhQYMBnsvmFNxlIB3vYF</t>
  </si>
  <si>
    <t>https://drive.google.com/open?id=1uq890oKwDAiWiUOMGvc-0d9Xi43yHv7s</t>
  </si>
  <si>
    <t>muhyiddin haruna</t>
  </si>
  <si>
    <t>28/05/2025 06:11:43</t>
  </si>
  <si>
    <t>Ali</t>
  </si>
  <si>
    <t>Asad</t>
  </si>
  <si>
    <t xml:space="preserve">Wang Ji </t>
  </si>
  <si>
    <t>asadmath18@gmail.com</t>
  </si>
  <si>
    <t>+8617822387905</t>
  </si>
  <si>
    <t>Hebei University of Technology China</t>
  </si>
  <si>
    <t>I am well versed with MATLAB and Python and also have some basic knowledge of C++. I did my Bachelor's thesis on the title 'A Mathematical model for the interaction of Cytotoxic and Helper T cells in a tumor Micro environment '. In which I analyzed a system of differential equation for tumor growth. For simulation I used MATLAB and XPP Auto.</t>
  </si>
  <si>
    <t>I am working on modeling Infectious deceases using differential equation. In my Bachelor's I worked on ODEs but now I am trying to do simulation using PDEs.</t>
  </si>
  <si>
    <t>As the infectious deceases are affecting the lives of every living thing (humans, animals or plants). By modeling and adopting a special procedure and treatment we can save ourselves from the affect of these deceases. My motivation for this field is stem back in 2019, when I was in 4th semester my Bachelor's when the Corona pandemic killed and affected millions of people. I thought that there I should participate in this battle against infectious deceases but my field was Mathematics and think that we can not do any thing in this. This task is specific to medical related. But then I met with Dr. Zaman, a renowned researcher in this field and I start work on tumor growth modeling under his supervision.</t>
  </si>
  <si>
    <t>I want to deafen my knowledge in the field of modeling Infectious deceases and solving these models numerically and use practically for the benefits of while man kind.</t>
  </si>
  <si>
    <t>https://drive.google.com/open?id=1cQzPeeaKP4QL8FUwO15nfUHaa_TpyYHx</t>
  </si>
  <si>
    <t>https://drive.google.com/open?id=1j7qssuJSwksEHr4ISypqfWVtL3vuVwMC</t>
  </si>
  <si>
    <t>https://drive.google.com/open?id=1u95jJG3H6igJe-17Towei_ld3hlaPLY7</t>
  </si>
  <si>
    <t>asad ali</t>
  </si>
  <si>
    <t>28/05/2025 07:07:33</t>
  </si>
  <si>
    <t>Thawani</t>
  </si>
  <si>
    <t>Alex</t>
  </si>
  <si>
    <t>alexthawani@gmail.com</t>
  </si>
  <si>
    <t>+265997395155</t>
  </si>
  <si>
    <t>Public Health Institute of Malawi</t>
  </si>
  <si>
    <t xml:space="preserve">Biostatistician </t>
  </si>
  <si>
    <t>I used R to analyze data from a nationwide study conducted by the Public Health Institute of Malawi to investigate the social and behavioural determinants of oral cholera vaccine (OCV) uptake. The study spanned eight high-burden districts and involved a representative sample of 912 households, selected using single-stage cluster sampling. Using R v3.20, I conducted data cleaning and validation, followed by descriptive analyses and bivariate tests using dplyr, janitor, and ggplot2. To identify significant predictors of vaccine uptake (binary outcome), I implemented a binary logistic regression model using glm(), with demographic and behavioural variables as predictors. I computed adjusted odds ratios (AORs) and 95% confidence intervals to quantify associations. Key factors included awareness, perceived safety, trust in vaccines, and access to vaccination sites. This R-based analysis enabled us to provide evidence-based recommendations to improve OCV campaign design and community engagement.</t>
  </si>
  <si>
    <t xml:space="preserve">Regression modelling is an essential quantitative technique that I regularly employ in my work to analyze the relationships between health outcomes and their associated factors. In particular, I frequently utilize logistic regression, which is a regression modelling method designed for binary outcomes. I assessed multicollinearity using the car::vif() function and selected the best-fitting model using stepAIC() from the MASS package. To validate model performance, I used pROC::roc() to plot ROC curves and calculate the area under the curve (AUC), providing insight into the model's predictive accuracy. The model revealed that frequent water contact and living near snail-infested water sources were strongly associated with FGS, even after adjusting for demographic factors. These findings directly informed intervention strategies, such as targeted health education and snail control in high-risk communities. Logistic regression helped quantify the strength of associations and identify priority populations for intervention. Its interpretability, especially through odds ratios and confidence intervals, made it easy to communicate findings to non-technical stakeholders, including health program managers and community leaders. </t>
  </si>
  <si>
    <t>My motivation for infectious disease modelling comes from the pressing need to improve data-driven responses to disease outbreaks in Malawi. During the COVID-19 pandemic, I observed how a lack of local modelling capacity contributed to delayed and generalized interventions in Malawi. As a biostatistician, I’ve come to value how models when properly contextualized can guide timely, evidence-based decisions, especially in resource-constrained settings. Using R, I’ve seen the power of statistical models to predict trends, evaluate intervention impact, and communicate risk in a clear, actionable way. I’m especially interested in applying modelling to neglected tropical diseases and climate-sensitive infections, where data are often sparse but timely decisions are critical. Infectious disease modelling aligns with my broader goal of supporting Malawi’s One Health Observatory to integrate environmental, human, and animal health data. I want to use models not just to understand disease dynamics, but to improve outbreak preparedness, optimize surveillance, and save lives across the region.</t>
  </si>
  <si>
    <t>I want to participate in this course to build practical skills in disease modelling using real-world data and African health contexts. While I’ve applied statistical methods in R for various public health studies, I seek formal training in infectious disease modelling frameworks, including compartmental models and scenario analysis for outbreak preparedness. This course aligns with my goal of contributing to Malawi’s One Health National Observatory, where I’m involved in developing integrated data systems to monitor diseases like malaria and schistosomiasis. Acquiring advanced modelling skills will enhance our ability to simulate outbreaks and support early warning systems that inform cross-sectoral response strategies. Furthermore, the in-person format offers a unique opportunity to collaborate with experts and peers across Africa, build networks, and engage in interdisciplinary learning. Completing both modules will also strengthen my professional profile and contribute to my long-term vision of becoming a regional leader in infectious disease modelling and health data science.</t>
  </si>
  <si>
    <t>https://drive.google.com/open?id=1cML2vneqKqCxJcKlX8-9dkiV493WifW2</t>
  </si>
  <si>
    <t>https://drive.google.com/open?id=1EZqEmyL-UFcapLjQtaktHSKgm7ZLcHPz</t>
  </si>
  <si>
    <t>https://drive.google.com/open?id=1luaa7PJRTnW-9uTZQRB-qNHabWATCmux</t>
  </si>
  <si>
    <t>alex thawani</t>
  </si>
  <si>
    <t>28/05/2025 11:04:14</t>
  </si>
  <si>
    <t xml:space="preserve">Asamoah </t>
  </si>
  <si>
    <t>Samuel</t>
  </si>
  <si>
    <t>samuel23@amityonline.com</t>
  </si>
  <si>
    <t>+233544528751</t>
  </si>
  <si>
    <t xml:space="preserve">Kumasi Center for Collaborative Research in Tropical Medicine </t>
  </si>
  <si>
    <t xml:space="preserve">Physician assistantship/Research assistant </t>
  </si>
  <si>
    <t>My experience in data analysis and modeling primarily revolves around R and SPSS, with additional proficiency in Jamovi. For my undergraduate thesis on the prevalence and determinants of anemia in pregnancy, I extensively utilized SPSS. This involved performing both bivariate and multivariate regression analyses to identify significant factors influencing anemia.
Beyond my thesis, I've deepened my expertise in R for various statistical tasks relevant to public health. I completed a certificate training focused on statistical analysis with R, where I gained practical skills in linear regression, logistic regression, and survival analysis. An example of a problem I've tackled with R includes modeling the association between socioeconomic status and health outcomes, where I employed logistic regression to predict the probability of a certain health condition based on income, education, and other demographic variables. Additionally, I've mastered regression modeling with Jamovi, a user-friendly statistical software similar to SPSS, further broadening my toolkit for data exploration and hypothesis testing.</t>
  </si>
  <si>
    <t>In my work and studies, a quantitative concept I've extensively used is logistic regression. This statistical method is a powerful tool for modeling the probability of a binary outcome (e.g., presence/absence of a disease, success/failure) based on one or more predictor variables. Unlike linear regression, which predicts a continuous outcome, logistic regression uses a logistic function to transform the linear combination of predictors into a probability between 0 and 1.
I primarily applied logistic regression in my undergraduate thesis on the prevalence and determinants of anemia in pregnancy. In this study, the outcome variable was binary: whether a pregnant woman was anemic or not. My goal was to identify which demographic, socioeconomic, and health-related factors were significant predictors of anemia.
I applied the logistic regression modelling as stated below:
Identifying Risk Factors: By fitting a logistic regression model, I could determine the odds ratio for each predictor variable. For instance, I might find that women with lower educational attainment had a significantly higher odds of being anemic compared to those with higher education, after controlling for other factors. This helped pinpoint key risk factors that could be targeted by public health interventions.
Quantifying Impact: The coefficients from the logistic regression model allowed me to quantify the strength and direction of the relationship between each predictor and the likelihood of anemia. For example, a positive coefficient for a certain dietary habit would indicate that adherence to that habit increased the odds of anemia, while a negative coefficient would suggest a protective effect.
Predictive Modeling: While the primary focus was on understanding determinants, the model could also be used to predict the probability of anemia for an individual given their characteristics. This has practical implications for identifying high-risk individuals who might benefit from early screening or intervention.
Controlling for Confounders: Logistic regression enabled me to assess the independent effect of each predictor while accounting for the influence of other variables. This is crucial in epidemiological studies to avoid spurious associations and gain a clearer understanding of true determinants.</t>
  </si>
  <si>
    <t>My strong interest in infectious disease modeling stems directly from the profound impact of the COVID-19 pandemic. Witnessing the global crisis unfold from lockdown, I was consistently drawn to the epidemiologists who presented models predicting the spread and potential trajectory of the virus. Their ability to translate complex epidemiological data into actionable insights, forecasting incidence and informing control strategies, truly captivated me.
This experience solidified my conviction that accurate and timely infectious disease modeling is indispensable for public and global health. Such models are not merely academic exercises; they are critical tools that illuminate the dynamics of disease transmission, project future burdens, and, crucially, guide evidence-based interventions. The power to understand how a disease will spread and what measures can effectively curb its impact, whether it's through vaccination campaigns, social distancing, or resource allocation, is what deeply motivates me. I am particularly drawn to the potential of these models to inform public health policy, ultimately contributing to better preparedness and more effective responses to future outbreaks, safeguarding communities on a global scale.</t>
  </si>
  <si>
    <t xml:space="preserve">I am eager to participate in the "Disease Modelling for Pandemic Preparedness and Response Modular Certificate Course" because it directly addresses the critical skills I need to achieve my long-term career goal of becoming an infectious disease field epidemiologist. My current role as a study clinician and research assistant at the Kumasi Centre for Collaborative Research in Tropical Medicine has provided me with invaluable practical experience in health research and data collection, but this course will equip me with the specialized modeling expertise essential for my aspirations.
The COVID-19 pandemic profoundly underscored the importance of accurate disease modeling in guiding public health responses. My interest in this area was ignited by observing how epidemiologists used models to predict outbreak extent and inform control strategies. This course, with its focus on pandemic preparedness and response, directly aligns with this fascination. It will provide me with a deeper understanding of epidemiological principles, advanced modeling techniques, and crucially, how to translate complex data into actionable insights for public health decision-making. As a future field epidemiologist, I envision myself at the forefront of outbreak investigations, and the quantitative and analytical skills gained from this course will be fundamental in designing effective interventions and safeguarding global health.
</t>
  </si>
  <si>
    <t>https://drive.google.com/open?id=1cov_a6Ayv1BPT1KYKACTJbO-DCS-qDbE</t>
  </si>
  <si>
    <t>https://drive.google.com/open?id=13_0qLNqflnl_WENDLu6nTjT9Hz5a5PIw</t>
  </si>
  <si>
    <t>https://drive.google.com/open?id=1lSzA-KMVZohGgFy9m2w6erKDlZKG2CQo</t>
  </si>
  <si>
    <t>samuel asamoah</t>
  </si>
  <si>
    <t>28/05/2025 13:56:15</t>
  </si>
  <si>
    <t xml:space="preserve">Ahmed </t>
  </si>
  <si>
    <t xml:space="preserve">Bilkisu </t>
  </si>
  <si>
    <t>Nill</t>
  </si>
  <si>
    <t>bilkisahmed47@gmail.com</t>
  </si>
  <si>
    <t>+2348133485559</t>
  </si>
  <si>
    <t xml:space="preserve">Bayero University Kano </t>
  </si>
  <si>
    <t>Doctoral Researcher</t>
  </si>
  <si>
    <t>While I do not yet have formal experience using programming languages for data analysis or modelling, I am deeply motivated to gain these skills, especially as they are increasingly critical in infectious disease research and pandemic preparedness. As a PhD student in Medical Microbiology with hands-on experience in laboratory techniques such as ELISA, PCR, and gene expression analysis, I am highly familiar with generating biological data and interpreting it using statistical principles.
In my MSc research, I analyzed neutralizing antibody responses among vaccinated and unvaccinated healthcare workers. Although I used mainly spreadsheet-based tools, this experience sparked my interest in learning programming languages like R and Python, particularly for modelling immune responses and simulating transmission dynamics.
I am a fast learner with a strong analytical mindset, and I am currently exploring beginner resources to build foundational coding skills. Attending this course would provide the structured training and mentorship I need to bridge this gap and contribute meaningfully to data-driven approaches in pandemic preparedness—especially from the perspective of an African scientist.</t>
  </si>
  <si>
    <t>One key quantitative concept I have applied in my academic work is regression analysis, particularly during the statistical evaluation of immunological data in my MSc thesis titled “Evaluation of SARS-CoV-2 Neutralizing Antibody Response among Vaccinated and Unvaccinated Healthcare Workers in Kano Metropolis.”
The study involved comparing antibody titers across multiple demographic variables such as age, gender, vaccination status, and time since vaccination. To assess the influence of these factors on antibody response, I employed linear regression analysis to model the relationship between continuous outcomes (e.g., antibody concentration) and predictor variables. This approach enabled me to quantify the extent to which variables like age and time post-vaccination impacted immune response while adjusting for confounding factors.
For example, regression analysis revealed a statistically significant decline in antibody levels with increasing time since vaccination, highlighting the potential need for booster doses. This insight would not have been possible through simple descriptive statistics alone. Additionally, stratifying the data by vaccination status and fitting separate models helped uncover differences in immune dynamics between vaccinated and unvaccinated participants.
Although I used statistical software with built-in modelling functions at the time, this experience strengthened my grasp of the principles behind regression analysis—such as interpreting coefficients, assessing model fit, and checking assumptions. It also deepened my appreciation for quantitative reasoning in biomedical research.</t>
  </si>
  <si>
    <t>My interest in infectious disease modelling is driven by a deep desire to contribute to timely, evidence-based responses to outbreaks, particularly in low-resource settings like mine. During my MSc and current PhD research in Medical Microbiology, I have witnessed firsthand how infectious diseases such as SARS-CoV-2 and HTLV-1 disproportionately affect vulnerable populations. These experiences made me realize that while laboratory data is essential, it is not sufficient on its own—modelling provides the critical link between data and action.
I am particularly motivated by the potential of modelling to predict disease spread, assess the impact of interventions, and guide resource allocation before crises escalate. The COVID-19 pandemic highlighted the power of models in shaping public health responses worldwide, yet many African countries lack local expertise to develop and interpret these models in real time.
I want to be part of the next generation of African scientists who are not only generating biological data but also translating it into dynamic, actionable insights. Infectious disease modelling offers that transformative potential—and that is what inspires me to pursue it with urgency and passion.</t>
  </si>
  <si>
    <t>I am eager to participate in the G-WAC Disease Modelling for Pandemic Preparedness and Response 2025 course because it offers a unique opportunity to bridge my strong laboratory background with advanced quantitative skills essential for modern infectious disease research. As a PhD student in Medical Microbiology, my work focuses on the immune response to neglected viruses such as HTLV-1. However, I recognize that to make a meaningful impact in pandemic preparedness—especially within the African context—I must complement my wet-lab expertise with data-driven modelling approaches.
This course aligns perfectly with my long-term goal of becoming a multidisciplinary researcher who can integrate microbiology, immunology, and disease modelling to support evidence-based public health decisions. I am particularly drawn to the course’s emphasis on real-world applications of mathematical modelling to outbreak scenarios, and I am confident it will equip me with the tools and mentorship needed to contribute effectively to Africa’s pandemic preparedness ecosystem.
Moreover, the opportunity to learn alongside peers and experts from diverse disciplines will expand my perspective and network, fueling future collaborations and impactful research at the intersection of science and public health.</t>
  </si>
  <si>
    <t>https://drive.google.com/open?id=10horRg0oe-Q8b70iP4GXuolMgqbWeFPq</t>
  </si>
  <si>
    <t>https://drive.google.com/open?id=1St4aIshxr2edc5nB2jU8iqOk7JMQnmav</t>
  </si>
  <si>
    <t>https://drive.google.com/open?id=1kPbgB261HCfoJUKcBlrlPN4Jk3Tv7bNM</t>
  </si>
  <si>
    <t>bilkisu ahmed</t>
  </si>
  <si>
    <t>28/05/2025 15:39:52</t>
  </si>
  <si>
    <t>anane</t>
  </si>
  <si>
    <t xml:space="preserve"> agnes</t>
  </si>
  <si>
    <t>achiamaa</t>
  </si>
  <si>
    <t>agnes.anane@ghs.gov.gh</t>
  </si>
  <si>
    <t>0244602096</t>
  </si>
  <si>
    <t>Ghana Health Service/ PHD student in Epidemiology</t>
  </si>
  <si>
    <t>Medical practitioner</t>
  </si>
  <si>
    <t>I have a lot of experience using R for statistical modeling and data analysis, especially in epidemiological and public health research. My primary tools are the survival and epitools programs for epidemiologic modeling, ggplot2 for graphical analysis, and tidyverse for data management and visualization.
An instance of this was examining the effects of oral cholera vaccine during Cholera  outbreak in Central region from October 2024 to March 2025. I performed descriptive analysis to find patterns in the distribution of cases after cleaning and combining surveillance and immunization data using R. 
To account for confounders like age, sex, and access to clean water, I also used logistic regression models. The findings were utilized to guide regional outbreak response plans and demonstrated the vaccine's strong protective benefits. This research showed off R's ability to handle real-world data and produce useful insights for disease prevention</t>
  </si>
  <si>
    <t xml:space="preserve">Logistic regression, a statistical technique for simulating the relationship between a binary dependent variable and one or more independent variables, is a crucial mathematical idea that I have utilized frequently in my work. Logistic regression calculates the likelihood that a given input falls into a specific category, usually denoted by the codes 0 or 1, as opposed to linear regression, which predicts a continuous outcome.
I used logistic regression to determine whether vaccinated people had a lower risk of cholera than unvaccinated people in a recent public health study evaluating the efficacy of an oral cholera vaccine (OCV) during an outbreak. Cholera status (yes/no) was the outcome variable, and immunization status was the main predictor. Odds ratios (ORs) and confidence intervals were included in the output, offering comprehensible assessments of the direction and intensity of correlations. For example, a vaccination with an odds ratio much lower than 1 suggested a protective effect.
In addition to helping public health officials scale up targeted vaccination campaigns, this analysis was essential in estimating the OCV's actual impact. Interventions with an equitable focus were informed by the identification of subgroups with lower vaccination rates. Because it enabled us to control for several factors while still separating the vaccine's effect, logistic regression was especially useful. This improved the reliability of our results and offered practical advice in an outbreak situation.
</t>
  </si>
  <si>
    <t xml:space="preserve">I am passionate in applying data-driven strategies to real-world public health issues, which is why I am interested in infectious disease modeling. Worldwide, infectious illnesses remain a serious danger, especially in low- and middle-income nations with frequently underfunded health systems. A strong tool for predicting outbreaks, comprehending disease dynamics, and assessing the possible effects of treatments like immunization, therapy, and public health policy is modeling.
Working on cholera outbreak analysis allowed me to observe personally how prompt modeling may help prioritize resource allocation, identify high-risk groups, and guide decision-making. The capacity to model various situations and forecast results enables health authorities to take proactive rather than reactive measures.
My main source of motivation is the potential for infectious disease modeling to improve health inequities, save lives, and support evidence-based global health initiatives. Strong models that incorporate epidemiological, environmental, and social aspects are increasingly needed as new diseases and health hazards associated with climate change increase. I'm motivated to work in this developing profession, which combines public service, science, and technology to safeguard population health.
</t>
  </si>
  <si>
    <t>I work I am excited to take this course because it directly relates to my current research and academic interests. My thesis as a doctoral student studying epidemiology is titled "Disease Modelling to Predict an Outbreak of Cholera." The goal of my research is to create and use predictive models to forecast possible outbreaks and comprehend the dynamics of cholera transmission, especially in areas that are susceptible.
My thesis will be completed successfully if I take this course, which will give me advanced knowledge and useful abilities in infectious disease modeling. I'm especially eager to learn new modeling techniques, resources, and software that will improve the accuracy and dependability of my forecasts. added to models of cholera.
In addition, I view this course as a chance to network with peers and experts, share ideas, and get helpful criticism that will help me improve my research strategy. Ultimately, the information I acquire from this course will help me achieve my academic objectives as well as my goal of producing practical insights that can guide public health initiatives for the prevention and control of cholera.
My future objectives of becoming an expert in infectious disease modeling and supporting evidence-based public health decision-making, especially in low- and middle-income nations like Ghana, are highly aligned with taking this course. My ultimate goal is to work at the nexus of practice, policy, and research, creating models that maximize the distribution of scarce health resources, direct vaccination campaigns, and educate outbreak preparedness.</t>
  </si>
  <si>
    <t>https://drive.google.com/open?id=1UgitYralTiuHdMnYQEOOI2GVE2xYPTZg</t>
  </si>
  <si>
    <t>https://drive.google.com/open?id=1mY9vbuSO8AvYCGkoe-IzVVuypp6jpKD8</t>
  </si>
  <si>
    <t>yes</t>
  </si>
  <si>
    <t>https://drive.google.com/open?id=1iwdJRB5rVSE5S4B8yJ614BEasj_681Ln</t>
  </si>
  <si>
    <t>agnes anane</t>
  </si>
  <si>
    <t>28/05/2025 16:04:49</t>
  </si>
  <si>
    <t xml:space="preserve">Nwafor </t>
  </si>
  <si>
    <t>Nwafor</t>
  </si>
  <si>
    <t>Sunny</t>
  </si>
  <si>
    <t>nwafor.sunny@yahoo.com</t>
  </si>
  <si>
    <t>08120700055</t>
  </si>
  <si>
    <t>Entrepreneur</t>
  </si>
  <si>
    <t>IT</t>
  </si>
  <si>
    <t>I've used Excel extensively for data analysis, visualization, and modeling. Some key skills include:
1. Data manipulation: Data cleaning, filtering, and pivot tables.
2. Formula writing: Using functions like VLOOKUP, INDEX/MATCH, and array formulas.
3. Data visualization: Creating charts, graphs, and dashboards.
4. Modeling: Building financial models, forecasting, and simulation.
One example problem I solved was analyzing sales data for a retail company. The goal was to identify trends, forecast future sales, and optimize inventory levels.
Steps Taken
1. Data cleaning and preparation: Used Excel to clean and organize the sales data.
2. Data analysis: Applied pivot tables, charts, and statistical functions to identify trends and patterns.
3. Forecasting: Built a forecasting model using Excel's built-in forecasting functions and historical data.
4. Visualization: Created interactive dashboards using Excel and VBA to display key metrics and trends.</t>
  </si>
  <si>
    <t>In my work/studies, I've applied linear regression to analyze the relationship between variables. Linear regression is a statistical method that models the relationship between a dependent variable (y) and one or more independent variables (x).
Application
I used linear regression to analyze the impact of marketing spend on sales revenue. The goal was to understand how changes in marketing expenditure affected sales.</t>
  </si>
  <si>
    <t>My motivations in this field is driven by passion to Improve  Public Health Outcomes
1. Predicting disease spread: Modeling helps predict the trajectory of outbreaks, enabling timely interventions.
2. Evaluating interventions: Models assess the effectiveness of control measures, such as vaccination, quarantine, and treatment.
3. Pandemic preparedness: Modeling enhances preparedness for emerging infectious diseases.
4. Global collaboration: Infectious disease modeling fosters international collaboration.
5. Desire to make a difference: Contributing to the development of models that can help save lives.
6. Fascination with complex systems: Understanding the dynamics of infectious disease spread.</t>
  </si>
  <si>
    <t>1. Enhance knowledge and skills: I'm eager to deepen my understanding of infectious disease modeling and its applications.
2. Improve career prospects: The course will equip me with valuable skills and expertise, making me a more competitive candidate in the field.
3. Research interests: I'm interested in exploring the dynamics of infectious diseases and evaluating the effectiveness of control measures.
4. Gain practical skills: I'll acquire hands-on experience with infectious disease modeling techniques and tools.
5. Network opportunities: I'll have the chance to connect with professionals and experts in the field.</t>
  </si>
  <si>
    <t>https://drive.google.com/open?id=10kMH1-huoFW2ku9jmvfp-N9G0uSpJdHl</t>
  </si>
  <si>
    <t>https://drive.google.com/open?id=1xHYdlbA3zdHKn3Zm5iuvesSEsXoUu_Z5</t>
  </si>
  <si>
    <t>https://drive.google.com/open?id=1_J8-l53MXWb3aqFIPrOMOf7EWlULwab5</t>
  </si>
  <si>
    <t>nwafor nwafor</t>
  </si>
  <si>
    <t>nwafor sunny</t>
  </si>
  <si>
    <t>28/05/2025 18:48:57</t>
  </si>
  <si>
    <t>Johnson</t>
  </si>
  <si>
    <t>Kwabina Arhinful</t>
  </si>
  <si>
    <t>johnsonjoseph83@yahoo.com</t>
  </si>
  <si>
    <t>+233243431345</t>
  </si>
  <si>
    <t>Takoradi Technical University</t>
  </si>
  <si>
    <t>Lecturer</t>
  </si>
  <si>
    <t>I have utilized R programming language to analyze COVID-19 data and develop Markov chain models to simulate disease transmission dynamics. Specifically, I have applied Hidden Markov Models (HMMs) to identify hidden states in COVID-19 infection rates across different geographical regions.
Using R packages like  ' HiddenMarkov', I have fitted HMMs to COVID-19 datasets, accounting for varying infection rates and blood type frequencies. The models enabled estimation of transition probabilities between different infection states.
The R environment facilitated efficient data manipulation, visualization, and model implementation. I have leveraged ggplot2 for data visualization and explored various model specifications to ensure robustness.
This experience has deepened my understanding of COVID-19 transmission dynamics and Markov chain modeling. The skills acquired will inform future research on infectious disease modeling and public health policy development.</t>
  </si>
  <si>
    <t xml:space="preserve">I utilized a Hidden Markov Model (HMM) to investigate the relationship between COVID-19 infection rates and blood type distribution across different geographical regions. HMMs are statistical models that assume the underlying system being modeled is a Markov process with unobservable (hidden) states.
In this context, the HMM allowed me to identify hidden states of COVID-19 infection rates, which were assumed to be influenced by blood type frequencies. The model estimated transition probabilities between these hidden states, enabling the prediction of future infection rates.
By applying HMMs to COVID-19 datasets, I found that:
- The hidden states corresponded to distinct infection rate patterns, which were associated with specific blood type distributions.
- The transition probabilities between hidden states varied across regions, indicating different dynamics of COVID-19 transmission.
The HMM analysis provided valuable insights into the complex relationship between COVID-19 infection rates and blood type distribution. These findings have implications for understanding the heterogeneous spread of COVID-19 and informing targeted public health interventions.
The use of HMMs allowed me to:
- Account for the uncertainty in COVID-19 infection rates
- Identify patterns and relationships that may not be apparent through other analytical approaches
- Develop predictive models that can inform decision-making in public health policy and practice.
Overall, the application of HMMs in this context demonstrated the utility of quantitative modeling in understanding complex systems and informing evidence-based decision-making.
</t>
  </si>
  <si>
    <t>My interest in infectious disease modeling stems from a desire to contribute to evidence-based decision-making in public health. I'm motivated by the potential of mathematical modeling to inform policy and interventions that can mitigate the impact of infectious diseases on vulnerable populations.
The COVID-19 pandemic highlighted the importance of robust modeling to predict disease transmission dynamics, evaluate intervention strategies, and optimize resource allocation. I'm drawn to the challenge of using data-driven approaches to understand complex systems and identify effective solutions.
Applying infectious disease modeling to public health issues can help:
1. Predict disease outbreaks and inform preparedness efforts
2.  Evaluate the effectiveness of interventions and policies
3. Optimize resource allocation and healthcare planning
By combining mathematical modeling with real-world data, I aim to contribute to the development of effective strategies for controlling and preventing infectious diseases, ultimately improving public health outcomes.</t>
  </si>
  <si>
    <t xml:space="preserve">As a statistician, I want to participate in the Disease Modelling for Pandemic Preparedness course to enhance my skills in mathematical and statistical modeling of infectious diseases. This course will provide me with advanced techniques for analyzing complex disease data and developing predictive models.
The course aligns with my future goals in several ways:
1. Enhance my expertise: I aim to deepen my understanding of disease modeling and its applications.
2. Inform public health policy: I want to contribute to evidence-based decision-making through statistical analysis and modeling.
3.  Address global health challenges: I'm committed to using statistical modeling to tackle infectious disease outbreaks.
By participating in this course, I expect to gain:
1. Advanced statistical modeling techniques for disease data analysis
2.  Practical experience with disease modeling software and tools
3.  Networking opportunities with experts in the field
This course will equip me with the skills necessary to make meaningful contributions to pandemic preparedness and response efforts, ultimately improving global health outcomes through data-driven decision-making.
</t>
  </si>
  <si>
    <t>https://drive.google.com/open?id=10C3wRqyxqNEUH5UBO5ifXw6HcUcFvCGQ</t>
  </si>
  <si>
    <t>https://drive.google.com/open?id=1zKs9pUGZU-8dKwiL2M4J99oj9swi2c-b</t>
  </si>
  <si>
    <t>https://drive.google.com/open?id=1DVKESmsj8iiO6U4wk0_3gAxnaJ4IOi2J</t>
  </si>
  <si>
    <t>joseph johnson</t>
  </si>
  <si>
    <t>- (1) - joseph johnson</t>
  </si>
  <si>
    <t>28/05/2025 20:28:05</t>
  </si>
  <si>
    <t xml:space="preserve">Oppong </t>
  </si>
  <si>
    <t xml:space="preserve">Rebecca </t>
  </si>
  <si>
    <t>Aboagyewah</t>
  </si>
  <si>
    <t>contact@ladyaboagyewah.com</t>
  </si>
  <si>
    <t>+233244383389</t>
  </si>
  <si>
    <t>VEEBECKZ TECH HUB</t>
  </si>
  <si>
    <t>Data Scientist | Health Informatician</t>
  </si>
  <si>
    <t>My Master's thesis was called "Enhancing Communication in Cervical Cancer Diagnosis in Ghana: The Role of Sentiment Analysis in Patient Feedback Mechanisms."  I utilized Python to look at patient input that wasn't organized from health facilities.  Using tools like NLTK, TextBlob, and scikit-learn, I developed a model for sentiment analysis that sorts responses into positive, neutral, or negative categories.  This helped find places where communication broke down in diagnosis disclosure and follow-up care.  Using natural language processing, I was able to measure how patients felt and what they thought. This helped me understand how communication affects patient trust and their willingness to stick to therapy.  This experiment showed how powerful programming can be in turning unstructured text data into useful information for improving the quality of healthcare.  In addition to sentiment analysis, I used Pandas and Matplotlib to clean and show the data.  This experience helped me learn more about health research that uses data and showed me how important it is to use computer technologies in public health systems.</t>
  </si>
  <si>
    <t xml:space="preserve">Regression analysis has been central to many of my research and data analysis tasks. One notable application was in assessing the relationship between water quality parameters and the prevalence of waterborne diseases in peri-urban communities in Ghana. Using multiple linear regression in R, I examined how variables such as pH, turbidity, nitrate concentration, and bacterial counts influenced disease incidence.
After data cleaning and exploratory data analysis, I built a regression model that quantified the contribution of each water parameter to the reported health outcomes. The analysis revealed a strong positive correlation between high nitrate levels and increased cases of diarrheal diseases. Additionally, I used standardized coefficients to determine which variables had the greatest influence and applied variance inflation factor (VIF) tests to check for multicollinearity. The results of this analysis were used to recommend water safety interventions and inform community health planning.
Through this experience, I gained a deeper appreciation of how quantitative concepts such as regression can provide critical insights into environmental health issues. It also strengthened my ability to communicate technical findings to non-technical stakeholders, including local authorities and health workers, ensuring that scientific evidence informed practical decisions.
</t>
  </si>
  <si>
    <t>My interest in infectious disease modelling stems from my passion for using data to solve real-world health challenges. During my Master’s thesis on “Enhancing Communication in Cervical Cancer Diagnosis in Ghana,” I applied sentiment analysis to improve feedback mechanisms in clinical settings. This experience showed me how data analytics could directly influence health communication and patient outcomes.
Currently, at WaterGuard Analytics, we apply data science to monitor water quality in communities impacted by illegal mining and agricultural runoff—factors that contribute to the spread of waterborne and zoonotic diseases. By combining environmental monitoring with predictive analytics, we aim to detect contamination early and protect public health, especially among vulnerable populations.
These experiences have sparked my interest in modelling disease spread in resource-constrained settings where environmental and socio-economic factors are closely intertwined. I believe infectious disease modelling is a vital tool for building resilience in health systems and guiding proactive interventions. It is my goal to contribute to models that are contextually relevant and support decision-making in African settings.</t>
  </si>
  <si>
    <t>This course directly aligns with my aspiration to become a leading data scientist in global health, with a focus on disease prevention and early detection. As someone with training in both environmental science and health informatics, I see this program as a unique opportunity to deepen my technical skills in modelling and apply them to real-world health challenges in Africa.
Participating in this course will equip me with advanced skills in infectious disease modelling and enhance my ability to contribute to multidisciplinary health research projects. It will also provide a strong foundation for future doctoral studies and collaboration with public health institutions in Ghana. My long-term goal is to establish a local research and training hub that uses modelling and data science to tackle endemic and emerging diseases. This program is a vital step toward that vision.</t>
  </si>
  <si>
    <t>https://drive.google.com/open?id=1hs9gYMU2k_YDvpsRCvJTh9T1uoNLQAjs</t>
  </si>
  <si>
    <t>https://drive.google.com/open?id=17xYsTcapX41Wop1CC5e5J5MRTL3pQFIT</t>
  </si>
  <si>
    <t>https://drive.google.com/open?id=1DNLMe-ZQuk4NUIgDqtScKCE6u9qP7gPvyRX213wQMaQ</t>
  </si>
  <si>
    <t>rebecca oppong</t>
  </si>
  <si>
    <t>28/05/2025 21:10:28</t>
  </si>
  <si>
    <t>Isah</t>
  </si>
  <si>
    <t>Muhammad</t>
  </si>
  <si>
    <t>.</t>
  </si>
  <si>
    <t>Muhammad.isah76@gmail.com</t>
  </si>
  <si>
    <t>+2348168121952</t>
  </si>
  <si>
    <t>University of Abuja Teaching Hospital, Abuja, F.C.T</t>
  </si>
  <si>
    <t xml:space="preserve">Medical Doctor: Public Health Physician </t>
  </si>
  <si>
    <t>I have developed strong proficiency in R and a good knowledge of Python for data analysis and disease modelling, with practical experience applying these tools in public health research. During my participation in the Nigeria Malaria Modelling Fellowship supported by the Bill and Melinda Gates Foundation, I used R to build a seasonal compartmental model (SIR-SI) for malaria transmission in Bayelsa State, Nigeria. I also built an a model studying the effects of WASH interventions in the control of Cholera disease in Nigeria.These projects involved incorporating real incidence data, fitting the model using maximum likelihood estimation with a negative binomial distribution, and performing sensitivity analysis to identify key drivers of transmission.
In another project, I used Python to simulate intervention scenarios for cervical cancer elimination in Nigeria. This involved defining a system of differential equations and projecting disease dynamics under current and improved strategies. I also employed data visualization libraries (ggplot2 in R and Excel) to communicate results effectively to stakeholders.
These experiences have strengthened my analytical and modelling skills, enhanced my understanding of disease dynamics, and equipped me with tools for evidence-based decision-making in public health. I am confident in my ability to apply programming tools to address complex epidemiological challenges.</t>
  </si>
  <si>
    <t>One quantitative concept I have applied extensively in my work is differential equations, particularly in modelling infectious disease dynamics. Differential equations allow us to represent how disease states (e.g., susceptible, infected, recovered) change over time in response to transmission, recovery, and intervention processes.
During the Malaria Modelling Fellowship, I developed different models,one of which was a compartmental SIR-SI model using a system of ordinary differential equations (ODEs) to capture malaria transmission dynamics between human and mosquito populations in Bayelsa State, Nigeria. Each equation described the rate of change of individuals in a compartment based on parameters such as transmission rate, recovery rate, and mosquito biting rate.
This framework enabled me to simulate how malaria cases would evolve under different intervention scenarios—such as scaling up insecticide-treated net (ITN) coverage or seasonal malaria chemoprevention (SMC). By fitting the model to real incidence data using maximum likelihood estimation, I could assess how well the model reflected observed trends and calculate key quantities like the basic reproduction number (R₀). Sensitivity analysis on the differential equations helped identify which parameters most strongly influenced transmission, informing which interventions would be most impactful.
The use of differential equations not only provided a rigorous way to model the disease process but also offered actionable insights for public health decision-making. This experience reinforced my ability to apply mathematical modelling for real-world health challenges and deepened my appreciation for the role of quantitative methods in epidemic preparedness and response.</t>
  </si>
  <si>
    <t>My interest in infectious disease modelling stems from a deep desire to contribute to evidence-based public health interventions, especially in resource-limited settings like my country, Nigeria. As a medical doctor and public health practitioner, I have witnessed firsthand the devastating impact of preventable diseases such as malaria and cholera on vulnerable populations. This motivated me to seek innovative tools that can inform timely, targeted, and cost-effective responses.
Through my involvement in the Malaria Modelling Fellowship and ongoing work on cervical cancer elimination modelling, I have seen the power of mathematical models to simulate disease dynamics, evaluate intervention strategies, and guide policy. Modelling allows us to anticipate outbreaks, optimize resource allocation, and assess the long-term impact of control measures—an essential capability for pandemic preparedness.
I am particularly motivated by the potential of modelling to bridge gaps between data and action, offering policymakers clearer insights into complex health challenges. My goal is to strengthen health systems through the integration of modelling into routine decision-making, ultimately improving outcomes for communities at risk .</t>
  </si>
  <si>
    <t>I am eager to participate in the G-WAC course on Disease Modelling for Pandemic Preparedness and Response to deepen my technical expertise in modelling infectious diseases and strengthen my contribution to public health decision-making in Nigeria and beyond. As a medical doctor and public health researcher with hands-on experience in modelling malaria and cervical cancer, I recognize the critical role that modelling plays in informing effective and timely interventions, particularly in low-resource settings.
This course aligns with my goal of becoming a regional leader in applied disease modelling, capable of translating complex data into actionable insights for epidemic preparedness and health systems strengthening. I am particularly interested in learning more about real-time outbreak modelling, scenario analysis, and integration of modelling into national response strategies.
By gaining advanced skills and engaging with global experts and peers, I hope to contribute more meaningfully to national and regional efforts to improve pandemic preparedness and response, ultimately supporting policies that save lives and promote health equity. This course represents a key step in equipping me with the tools and network needed to make that vision a reality.</t>
  </si>
  <si>
    <t>https://drive.google.com/open?id=14GuTV1V9CXuN1Fv7U-1WFZNlZACcJyKz</t>
  </si>
  <si>
    <t>https://drive.google.com/open?id=1LhveeHEGUf9QHwE9_bKTYKlf82tPBhZs</t>
  </si>
  <si>
    <t>https://drive.google.com/open?id=1fcYILU6KE61dNhTnYSqFiFSFWuTr7e1n</t>
  </si>
  <si>
    <t>muhammad isah</t>
  </si>
  <si>
    <t>28/05/2025 23:13:59</t>
  </si>
  <si>
    <t>Amollo</t>
  </si>
  <si>
    <t>Rozario</t>
  </si>
  <si>
    <t>Joha</t>
  </si>
  <si>
    <t>rozarioamollo@gmail.com</t>
  </si>
  <si>
    <t>+233 509363430</t>
  </si>
  <si>
    <t>Global Health Scholar</t>
  </si>
  <si>
    <t>During my data science internship at HubbleMind in Kenya, I applied Python and SQL for health data analysis and predictive modelling. I used Python libraries such as Pandas and NumPy for data wrangling, and Matplotlib to create visualizations that supported health system performance reviews. One key project involved enhancing a machine learning model to predict patient outcomes based on clinical and demographic data. By optimizing feature selection and tuning hyperparameters, I contributed to increasing the model’s prediction accuracy by over 10%.
In addition to Python, I have experience using Stata for statistical analysis in public health research, especially when analyzing trends in non-communicable diseases during my MPH coursework at KNUST. My programming and data analysis skills have allowed me to generate actionable insights to inform clinical decision-making and health policy discussions, which is central to my goal of leveraging data for effective public health responses.</t>
  </si>
  <si>
    <t xml:space="preserve">One quantitative concept I have used extensively is logistic regression, particularly in analyzing health outcomes during my data science internship. Logistic regression allows us to model the probability of a binary outcome, for instance, whether a patient develops complications or not — based on multiple predictors.
While at HubbleMind, I applied logistic regression to develop a predictive model identifying patients at high risk of hospital readmission within 30 days. I selected variables including age, comorbidities, and prior hospitalizations using electronic health record data. The model helped identify the relative importance of these factors and provided an odds ratio for each, enabling health teams to prioritize patient follow-up care.
In my MPH program, I have also used logistic regression in a research project exploring factors associated with hypertension prevalence in a peri-urban Ghanaian community. This model highlighted socioeconomic status and BMI as significant predictors, thereby informing community health strategies aimed at early screening and lifestyle interventions.
By interpreting coefficients, confidence intervals, and other model fit metrics, I gained deeper insight into the reliability and practical use of predictive models in health settings. Logistic regression has thus played a critical role in how I transform data into meaningful, evidence-based health strategies.
</t>
  </si>
  <si>
    <t xml:space="preserve">My motivation for infectious disease modelling stems from a deep desire to contribute to data-driven solutions in global health, particularly in low- and middle-income countries where epidemics often overwhelm health systems. As a clinician and global health scholar, I have witnessed how delays in disease detection and response can escalate outbreaks and compromise care delivery.
The COVID-19 pandemic revealed glaring gaps in surveillance and response frameworks, especially across Sub-Saharan Africa. This experience, along with my MPH training at KNUST, has driven my interest in quantitative tools that can forecast outbreaks, model interventions, and optimize resource allocation. I believe that robust modelling frameworks can guide not only emergency preparedness but also long-term public health planning.
With my clinical, academic, and data analysis background, I am uniquely positioned to interpret complex models in practical, policy-relevant terms. My goal is to bridge the gap between frontline health services and computational insights ensuring that modelling outputs translate into life-saving interventions.
</t>
  </si>
  <si>
    <t xml:space="preserve">I am applying to this course to build advanced skills in disease modelling, equipping myself to contribute meaningfully to pandemic preparedness and health system resilience in Africa. My career goal is to become a global health practitioner who integrates clinical insight with modelling expertise to inform public health strategy and emergency response.
This course aligns directly with my MPH focus on Global Health at KNUST, and complements my ongoing work in data analysis and digital health. I hope to deepen my understanding of transmission dynamics, scenario forecasting, and intervention modelling — areas critical to addressing not only emerging infectious diseases but also syndemics involving NCDs.
Participation in the G-WAC program will provide me with cutting-edge modelling techniques, exposure to interdisciplinary networks, and a platform to translate data into impact. Long-term, I envision contributing to regional centres of disease modelling and supporting evidence-based policymaking across Africa.
</t>
  </si>
  <si>
    <t>https://drive.google.com/open?id=17tJYdxULiRdgylffauQoOAEqf3FLt-PH</t>
  </si>
  <si>
    <t>https://drive.google.com/open?id=1UZAIEt_5-RMXqRC0-rjQtV6znJRQnxu1</t>
  </si>
  <si>
    <t>https://drive.google.com/open?id=1FdlucvjT88rOWNtxcbHTeUug6iTg3jo7</t>
  </si>
  <si>
    <t>rozario amollo</t>
  </si>
  <si>
    <t>rozario joha</t>
  </si>
  <si>
    <t>29/05/2025 18:03:36</t>
  </si>
  <si>
    <t>Germany</t>
  </si>
  <si>
    <t>Jung</t>
  </si>
  <si>
    <t>Luisa</t>
  </si>
  <si>
    <t>no</t>
  </si>
  <si>
    <t>luisa.jung@gmx.net</t>
  </si>
  <si>
    <t>+4917652078610</t>
  </si>
  <si>
    <t>Charité Berlin</t>
  </si>
  <si>
    <t>Student/ Researcher</t>
  </si>
  <si>
    <t>In my current role as a student research assistant at the Institute of Medical Sociology and Rehabilitation Science at Charité Berlin, I regularly use SPSS and R for data cleaning, descriptive and inferential statistical analyses. I also have basic experience with Python, particularly in the context of exploratory data analysis. One project involved preparing and analyzing quantitative survey data for a German Pension Insurance study aimed at improving access to preventive health measures. I used R to write reproducible scripts that performed data cleaning, checked for missing values, and conducted logistic regression to identify predictors of program participation. To visualize key patterns, I applied ggplot2 for clear and publication-ready figures. This improved the interpretation of findings and supported the development of practical recommendations for stakeholders. Additionally, I’ve applied statistical functions in SPSS for internal reports and quality assurance purposes. Through this experience, I strengthened my ability to select appropriate methods, interpret results accurately, and communicate them effectively. I am eager to deepen my skills further to contribute to data-driven global health responses, especially in resource-constrained settings.</t>
  </si>
  <si>
    <t>One quantitative concept I have frequently applied in both academic and professional contexts is logistic regression, particularly for analyzing categorical outcome variables. In my current position as a research assistant at the Institute of Medical Sociology and Rehabilitation Science at Charité Berlin, I contributed to the MIA-PROM project, funded by the Federal Ministry of Education and Research (BMBF), which focuses on developing and evaluating an AI-supported assistance system to optimize the collection of Patient-Reported Outcome Measures (PROMs) in medical rehabilitation.
Our research goal was to identify barriers and facilitators to PROM completion in order to inform the design and functionality of the assistance system. Specifically, we aimed to better understand how patient characteristics and process-related factors affected the likelihood of PROM completion and data quality. To this end, we applied logistic regression to examine the relationship between variables such as age, diagnosis, and previous treatment experience with the binary outcome of PROM completion.
This approach enabled us to detect patterns—such as lower completion rates among older patients or certain diagnostic groups—that pointed to usability challenges and informed adaptations in the design of the assistance system. The insights gained supported efforts to tailor the system toward user needs and integrate it seamlessly into clinical workflows.
Using logistic regression in this context strengthened my ability to apply quantitative methods to real-world health services research and demonstrated how data-driven insights can directly contribute to improving patient-centered care and clinical decision-making.</t>
  </si>
  <si>
    <t>What motivates me most about infectious disease modelling is its crucial role in shaping timely, evidence-based decisions in public and global health. The COVID-19 pandemic made it strikingly clear how vital modelling is in predicting outbreaks, allocating resources, and evaluating the impact of interventions. Particularly in low- and middle-income countries, where health systems are often under-resourced, accurate models can help maximise limited capacities and guide targeted responses.
My academic background in public health and professional experience in health services research have deepened my interest in quantitative methods as a tool for addressing health inequities. I am particularly drawn to modelling's ability to translate complex epidemiological dynamics into actionable insights for policy-makers, especially in high-burden settings. During my current work in the MIA-PROM project at Charité Berlin, I witnessed the power of data-informed decision-making and realised that I want to apply these skills to broader global health challenges.
My long-term goal is to contribute to pandemic preparedness and response strategies in Africa. Participating in this course would allow me to strengthen my modelling skills and become part of a network that uses rigorous science to improve health outcomes in vulnerable populations.</t>
  </si>
  <si>
    <t>I want to participate in this course because it offers a unique opportunity to deepen my understanding of disease modelling in the context of pandemic preparedness and response—skills that are critical for my future career in global health. With a strong academic foundation in public health and practical experience in health systems research, I am eager to strengthen my technical competencies in modelling to better contribute to data-driven decision-making processes in low- and middle-income countries.
My long-term goal is to work in global health in sub-Saharan Africa, supporting evidence-based strategies to manage infectious disease outbreaks and strengthen health system resilience. Having recently completed fieldwork in Nairobi and actively searching for new career pathways in Africa, I see this course as an essential next step. It will equip me with the methodological skills and network connections needed to contribute to local modelling initiatives and collaborate with public health authorities.
Being part of the MPPR Network also presents a valuable opportunity to remain engaged in collaborative projects and ongoing learning. The course's practical focus on real-world applications, including engagement with health authorities, aligns perfectly with my aim to combine research and policy work for sustainable health improvements in high-priority regions.</t>
  </si>
  <si>
    <t>https://drive.google.com/open?id=1nNKtz6ze3ruXgD1JOLBBFpkvoBQUo7W0</t>
  </si>
  <si>
    <t>https://drive.google.com/open?id=1F6M_EBBhB2Y3QGPHiUVNtRHlyLcSmfFJ</t>
  </si>
  <si>
    <t>https://drive.google.com/open?id=1G_4Xq33IHGrK6A21LMwwyBHC3mfIc-Jd</t>
  </si>
  <si>
    <t>luisa jung</t>
  </si>
  <si>
    <t>lui ju</t>
  </si>
  <si>
    <t>29/05/2025 20:33:09</t>
  </si>
  <si>
    <t>Abosse</t>
  </si>
  <si>
    <t>Jirata</t>
  </si>
  <si>
    <t>Shiferaw</t>
  </si>
  <si>
    <t>jirata.shiferaw@aau.edu.et</t>
  </si>
  <si>
    <t>+251911645312</t>
  </si>
  <si>
    <t>Addis Ababa University</t>
  </si>
  <si>
    <t xml:space="preserve">Assistance Professor of Pathology </t>
  </si>
  <si>
    <t xml:space="preserve">I have experience using modelling software (e.g. R and Python) for data analysis and modelling in both academic and applied research settings. My work has involved tasks such as data cleaning, statistical analysis, visualization, and predictive modelling.
For instance, I used Python (with libraries such as Pandas, NumPy, and Matplotlib) to analyse environmental and health data collected from field surveys, with particular emphasis on the healthcare wastewater on the development and transmission of heavy metals and antimicrobial resistance genes. I performed exploratory data analysis to identify trends, applied statistical tests to assess relationships between variables, and built simple predictive models using scikit-learn to estimate disease risk based on environmental exposures.
In addition, I have experience using R for epidemiological modelling, where I used packages like dplyr, ggplot2, and epitools to clean datasets, generate descriptive statistics, and visualize temporal patterns of disease outbreaks.
These tools have been essential in supporting data-driven decisions, especially in One Health research projects were integrating and interpreting large, complex datasets is crucial. For my PhD study. I have used this mentioned software for modelling of risks and transferring indexes of heavy metals from wastewater to soils and vegetables and further develops cancerous in humans.
</t>
  </si>
  <si>
    <t xml:space="preserve">In our study assessing health risks from wastewater exposure in the River catchment, we used logistic regression to examine the association between livestock exposure to polluted water and the occurrence of gastrointestinal symptoms. Environmental variables such as fecal coliform concentration, water source type, and proximity to discharge points were included as predictors. We also applied multivariable linear regression to assess the impact of heavy metal exposure on serum biochemical parameters in cattle. These models allowed us to control for confounders like age, sex, and management practices, providing a clearer picture of the health burden posed by environmental contamination.
In my work, I have used regression analysis, particularly logistic regression, to investigate the relationship between environmental exposures and health outcomes. For example, in a study assessing the impact of wastewater pollution on livestock health, I used logistic regression to estimate the odds of disease occurrence (e.g., gastrointestinal illness) in animals based on exposure to contaminated water sources.
This approach allowed me to quantify the association between exposure levels and disease risk while controlling for confounding factors such as age, species, and management practices. The results provided evidence-based insights for targeted interventions, such as improving water safety and promoting better livestock husbandry in high-risk areas.
The probability distribution was also used to analyse the effects of confounders on the health risks associated with waterborne infectious diseases to the humans and animals. </t>
  </si>
  <si>
    <t xml:space="preserve">My interest in infectious disease modelling is driven by its powerful role in understanding, predicting, and controlling disease dynamics at both local and global levels. Infectious diseases remain a major threat to human and animal health—especially in low-resource settings—where prevention and response strategies must be both efficient and evidence-based.
Modelling provides a framework to simulate disease spread, assess the impact of interventions (like vaccination or sanitation), and inform policy decisions before outbreaks occur. I’m particularly motivated by how modelling bridges disciplines—epidemiology, ecology, and public health—to support One Health approaches in managing zoonotic diseases and antimicrobial resistance.
In my academic and field work, I’ve seen how even simple models can offer critical insights where data are limited, guiding resource allocation and risk communication. Ultimately, I’m inspired by the opportunity to contribute to solutions that improve health outcomes, especially in vulnerable communities, through scientifically grounded and actionable insights.
</t>
  </si>
  <si>
    <t xml:space="preserve">I want to participate in this course to strengthen my skills in infectious disease modelling and deepen my understanding of how quantitative tools can inform public and global health strategies. As a PhD fellows and researcher on One-Health, working at the intersection of veterinary, environmental, and human health, I see modelling as an essential tool for addressing complex health challenges—especially zoonotic and environmentally driven diseases.
This course aligns closely with my long-term goal of contributing to evidence-based disease control programs in low- and middle-income countries, particularily in my country where infectious and zoonotic diseases are highly prevalent. By gaining advanced modelling techniques and learning from leading experts, I hope to enhance my ability to design and evaluate interventions, inform policy, and support One Health initiatives that protect both human and animal populations.
Ultimately, this training will help me become a more effective researcher and practitioner, capable of integrating data and modelling into real-world health solutions.
</t>
  </si>
  <si>
    <t>https://drive.google.com/open?id=1bikB-i1JGBm-CSrmDIGyJvyTTgKbqJft</t>
  </si>
  <si>
    <t>https://drive.google.com/open?id=1ttNpl1akiFzEnI2GnWu3vls8BjmMML1b</t>
  </si>
  <si>
    <t>https://drive.google.com/open?id=1YIhYXKss3DTLBM7UU_yYqLdpzRhLpOOr</t>
  </si>
  <si>
    <t>jirata abosse</t>
  </si>
  <si>
    <t>30/05/2025 00:42:41</t>
  </si>
  <si>
    <t>Axel</t>
  </si>
  <si>
    <t>Keza</t>
  </si>
  <si>
    <t>kezaaxel98@gmail.com</t>
  </si>
  <si>
    <t>+229 61807119</t>
  </si>
  <si>
    <t>University of Abomey-Calavi</t>
  </si>
  <si>
    <t>Master Student</t>
  </si>
  <si>
    <t xml:space="preserve">I hold a Bachelor's degree in Statistics (2021), during which I was trained in statistical and data collection tools such as R, SPSS, STATA, EViews, KoboCollect, and CSPro. In my final year, courses like Multivariate Analysis, Time Series, Bayesian Statistics, and Epidemiology emphasized hands-on work in R and SPSS, strengthening my data analysis and modelling skills.
During my bachelor’s internship at the Burundi Revenue Authority, I used R to analyze and forecast monthly fuel importation data from 2010 to 2020. The project involved time series modelling to predict future import quantities, helping inform planning and policy decisions.
Beyond academics, I have served as a trainer in R, SPSS, STATA, and KoboCollect during capacity-building workshops organized by local centers such as Ejo Youth Empowerment (Bujumbura) and the Socrates Academy of Project Management Ltd (Kenya), as well as for several NGOs. These sessions focused on equipping staff with skills in data collection, analysis, and reporting to improve evidence-based project management.
These experiences have solidified my proficiency in programming for statistical analysis and real-world problem-solving.
</t>
  </si>
  <si>
    <t xml:space="preserve">During my academic journey, I have applied several quantitative concepts, particularly regression analysis and differential equations where I conducted consultancy with NGOs in its project to real-world problems in public health and beyond.
In my undergraduate and master’s studies, I studied probability theory, which provided a solid foundation in discrete and continuous distributions. This knowledge was crucial for understanding linear and logistic regression, which I applied during practical coursework and case studies involving datasets from public health, ecology, and agriculture. At the master’s level, courses such as Linear Models, Linear Mixed Effects Models, and Generalized Linear Mixed Models deepened my ability to model complex data and draw meaningful inferences for decision-making.
A more advanced concept I have applied in my research is partial differential equations (PDEs). I used this in my first year of master’s studies, alongside Population Dynamics and Introduction to Infectious Disease Modelling. These courses sparked my interest in infectious disease modelling and guided me in selecting my master’s thesis topic:
“Modelling Measles Outbreaks and Response in Burundi.”
My research involves constructing and analyzing a SVEIR compartmental model (Susceptible, Vaccinated, Exposed, Infected, Recovered), where the transitions between compartments are described using differential equations. These equations capture the rates at which individuals move from one health state to another based on parameters such as transmission rate, vaccination rate, and recovery rate. By solving these equations, I aim to simulate outbreak dynamics and assess the potential impact of various intervention strategies.
Overall, my work demonstrates how quantitative tools like regression and differential equations can be used to model health phenomena and inform effective public health responses.
</t>
  </si>
  <si>
    <t xml:space="preserve">Over the past decade, Africa has faced multiple outbreaks of infectious diseases such as Ebola, COVID-19, Mpox, and Marburg, all of which have significantly impacted populations economically, socially, and demographically. These recurring health emergencies revealed gaps in preparedness and emphasized the need for evidence-based approaches to epidemic response.
My interest in infectious disease modelling began during my undergraduate studies through a course in Introduction to Epidemiology, where I learned how statistical methods can be applied to public health challenges. This interest deepened during my master’s program when I took a course on Infectious Disease Modelling. I was introduced to the SIR model and its extensions, and learned how to use differential equations to describe disease dynamics across compartments.
I decided to concentrate my master's thesis on "Modelling Measles Outbreaks and Response in Burundi" since it was both academically fascinating and applicable to the real world. In my own nation, measles is still a serious health issue; notable outbreaks were documented in 2021 and 2023. By using modeling, I hope to help enhance illness prediction and intervention techniques, which will help with prevention and control initiatives in Burundi and other comparable contexts.
</t>
  </si>
  <si>
    <t xml:space="preserve">
I am eager to participate in this course as I complete my Master’s degree. It presents a valuable opportunity to strengthen my skills in infectious disease modelling, in reporting results, data analysis, effective communication of results and engage with health authorities. As I work on my master’s thesis focused on modelling measles outbreaks in Burundi.This course will deepen my understanding of dynamic models and provide practical tools to enhance the availability of high-quality evidence of modelling of my research. One of the unique aspects of this training is the opportunity to learn from leading experts about how high-quality modelling has been applied to guide policy and response strategies during recent pandemics in Africa. I am particularly interested in how modelling evidence has supported decision-making for managing endemic, epidemic, and pandemic threats.
This course aligns perfectly with my future goals. I plan to pursue a PhD in infectious disease modelling and return to Burundi to contribute as a researcher and university lecturer. By building local capacity in health modelling, I hope to play an active role in improving public health preparedness and response in Burundi and the broader region, and thus contributing meaningful to high-quality modelling evidence to inform decision-making in the management of epidemic and pandemic in Africa.
</t>
  </si>
  <si>
    <t>https://drive.google.com/open?id=19PJkP6ePTTQXMU1UbG77ezJbZprqWSYU</t>
  </si>
  <si>
    <t>https://drive.google.com/open?id=19HCuT4oOg1vPVYo5Gr1_Nf4M6k0VTaAr</t>
  </si>
  <si>
    <t>https://drive.google.com/open?id=1O1HwCNBIfEYun_0SMqrgsUbWoRa0uTne</t>
  </si>
  <si>
    <t>keza axel</t>
  </si>
  <si>
    <t>30/05/2025 11:26:14</t>
  </si>
  <si>
    <t>ALEX STEPHANE</t>
  </si>
  <si>
    <t>NDJIP NDJOCK</t>
  </si>
  <si>
    <t>alexndjock@gmail.com</t>
  </si>
  <si>
    <t>+237694535999</t>
  </si>
  <si>
    <t>Edea District Health</t>
  </si>
  <si>
    <t>DATA MANAGER</t>
  </si>
  <si>
    <t>During my research on cholera outbreaks in Cameroon's Littoral region, I utilized R for comprehensive data analysis and visualization to support outbreak response decisions.
Problem Solved: Health authorities needed to identify high-risk areas and optimize intervention targeting during a 2022 cholera epidemic. Using RStudio, I:
Cleaned and analyzed surveillance data (1,200+ cases) with dplyr and tidyr
Created dynamic risk maps using ggplot2 and sf packages
Developed time-series forecasts with forecast package to predict case trends
Key Insight: Spatial analysis revealed two districts accounting for 62% of cases due to poor water access. My weekly reports with R Markdown helped redirect sanitation teams, contributing to a 40% faster outbreak containment compared to previous years.
This experience demonstrated R's power for transforming surveillance data into actionable public health insights. I'm particularly interested in expanding these skills into disease modeling through G-WAC's training.</t>
  </si>
  <si>
    <t>In my study on tuberculosis (TB) preventive therapy adherence among healthcare workers in Cameroon, I employed logistic regression to identify key predictors of non-compliance.
Concept Used: Logistic regression modeled the binary outcome (adherence: yes/no) as a function of explanatory variables: Workplace safety protocols, Knowledge scores, Access to PPE, Training frequency
How It Informed Analysis: The odds ratios revealed that poor workplace safety (OR=3.2, p&lt;0.01) and inadequate training (OR=2.7, p&lt;0.05) were statistically significant predictors of non-adherence, while PPE access showed no significant effect (p=0.21).
Impact:
These quantitative findings: Challenged the assumption that PPE availability alone drives compliance, Prompted district health authorities to redesign staff training programs Were incorporated into Cameroon's 2023 TB Infection Control Guidelines
This experience demonstrated how statistical modeling transforms observational data into evidence for policy decisions - a perspective I would bring to G-WAC's modeling initiatives.</t>
  </si>
  <si>
    <t>My passion for infectious disease modeling stems from witnessing its transformative power during Cameroon’s recurrent cholera outbreaks. As an epidemiologist analyzing real-time surveillance data, I saw how rudimentary forecasting models helped redirect limited resources to high-risk districts preventing hundreds of cases. This experience revealed a critical gap: most African health systems react to outbreaks rather than anticipate them.
What drives me is modeling’s unique dual impact: Precision in prevention: Moving beyond "one-size-fits-all" interventions by quantifying localized transmission dynamics, as I did when identifying TB superspreader venues through network analysis
The COVID-19 pandemic exposed dangerous asymmetries in global modeling capacity. At G-WAC, I want to help build African-led modeling frameworks that respect contextual factors from seasonal migration patterns to traditional healthcare practices which generic models often overlook. My goal is to bridge the gap between theoretical models and implementable solutions, ensuring life-saving analytics are accessible where they’re needed most.</t>
  </si>
  <si>
    <t>I am seeking to participate in this course to transform my current epidemiological skills into advanced modeling competencies that address Africa’s unique public health challenges. Having responded to multiple outbreaks in Cameroon, I’ve witnessed how the lack of localized modeling frameworks leads to reactive rather than preventive strategies. This course’s focus on context-appropriate modeling for LMICs directly bridges this gap.
The curriculum aligns perfectly with my goal to master open-source modeling tools that can analyze complex African health systems data, complementing my R expertise with new techniques for spatial-temporal analysis and scenario projection.
G-WAC’s One Health approach particularly resonates with my work on zoonotic diseases. The opportunity to learn alongside German and West African experts will provide the cross-disciplinary perspective needed to develop models that account for regional realities from livestock mobility patterns to urban-rural healthcare disparities. This training is the critical next step in my mission to make outbreak response in Africa more proactive, precise, and equitable.</t>
  </si>
  <si>
    <t>https://drive.google.com/open?id=1hc4cKN7jgTch2WiRPekMvGj7cm9Fnh7v</t>
  </si>
  <si>
    <t>https://drive.google.com/open?id=1p0hPs2ZMrlvRBRZKGxExEXDYr3nfUArU</t>
  </si>
  <si>
    <t>https://drive.google.com/open?id=1A_Ns-5-B9K5ye61IE9e8hmUQijmLDiBM</t>
  </si>
  <si>
    <t>ndjip ndjock alex stephane</t>
  </si>
  <si>
    <t>30/05/2025 14:39:49</t>
  </si>
  <si>
    <t>Adufe</t>
  </si>
  <si>
    <t>Iyanuoluwa</t>
  </si>
  <si>
    <t>Mobolaji</t>
  </si>
  <si>
    <t>iyanuoluwa.adufe@uniosun.edu.ng</t>
  </si>
  <si>
    <t>+2348131894434</t>
  </si>
  <si>
    <t>Osun State University</t>
  </si>
  <si>
    <t>During my time as a fellow in the Nigerian Malaria Modelling Fellowship, I gained practical experience using R programming and Python for data analysis and disease modelling. I used these tools to write codes for numerical simulations and compute the basic reproduction number, primarily working on Google Colab for collaborative coding and visualization. For my capstone project, titled “Unravelling the Emergence of ACT-Resistant Malaria in Osun State: Insights from Mathematical Modelling”, I used R as the primary modelling tool. Through compartmental modelling, I conducted numerical analyses, sensitivity testing, and scenario simulations to assess the potential public health threat of artemisinin-based combination therapy (ACT) resistance. The findings highlighted a projected increase in both infected human and vector populations, underscoring the urgency of early detection and strategic intervention. This work informed policy-relevant recommendations, including the need for optimized treatment protocols, enhanced healthcare infrastructure, and strengthened community engagement to curb the spread of resistant malaria strains. This experience sharpened my programming skills and reinforced the value of data-driven modelling for informing real-world public health decisions.</t>
  </si>
  <si>
    <t xml:space="preserve">In my academic work, I have applied differential equations extensively to model infectious disease dynamics. A key example is the SITR-SI compartmental model I used during my capstone project on ACT-resistant malaria in Osun State. This model incorporates a system of ordinary differential equations (ODEs) to describe the rates of change over time in various human and vector population compartments: susceptible (S), infected (I), treated (T), and recovered (R). The equations account for disease transmission dynamics, treatment progression, recovery, mortality, and the potential relapse or reinfection of individuals. The equation models how the number of infected human’s changes over time, influenced by transmission from infected vectors, disease-related and natural death, recovery, and movement from treatment compartments.
Solving this system numerically allowed me to simulate real-world scenarios under different parameter values such as increasing treatment rates or reducing transmission probabilities. Sensitivity and scenario analyses helped identify which parameters most strongly influence disease dynamics and resistance emergence. This use of differential equations was instrumental in predicting the potential burden of ACT-resistant malaria. It also supported evidence-based policy recommendations including targeted surveillance, treatment optimization, and health system strengthening. By quantifying the temporal dynamics of resistance spread, differential equations enabled a more robust understanding of how interventions might alter the course of the epidemic. This experience deepened my appreciation for mathematical modelling as a powerful tool in public health planning and response, particularly in contexts of emerging resistance and limited resources.
</t>
  </si>
  <si>
    <t xml:space="preserve">As a health promotion and disease prevention expert with a strong focus on health systems strengthening, my interest in infectious disease modelling is driven by its potential to generate data-driven insights that inform timely and effective public health decision-making. In settings like Nigeria, where health resources are often limited and disease burdens are high, mathematical modelling provides a powerful tool for understanding transmission dynamics, forecasting outbreaks, and evaluating the potential impact of interventions.
What excites me most is the ability of modelling to translate complex epidemiological data into actionable guidance for policy makers, program managers, and frontline health workers. It bridges the gap between academic research and real-world application, ensuring that public health responses are not only reactive but also strategic and forward-looking.
In a world increasingly threatened by emerging and re-emerging infectious diseases, I see infectious disease modelling as essential for pandemic preparedness, health system resilience, and equitable resource allocation. My goal is to contribute to building locally relevant models that can shape stronger, more responsive public health systems, particularly in low- and middle-income countries.
</t>
  </si>
  <si>
    <t xml:space="preserve">I am eager to participate in this course because it offers a unique opportunity to deepen my skills in infectious disease modelling within the context of pandemic preparedness and response. As someone with a background in health promotion, disease prevention, and health systems strengthening, I recognize that building local modelling capacity is essential for proactive, data-informed decision-making in public health.
This course aligns closely with my future goal of becoming a leading expert in epidemiological modelling in Nigeria and across sub-Saharan Africa. I aim to support governments and health agencies with evidence-based strategies for managing outbreaks, allocating limited resources efficiently, and strengthening surveillance systems. The technical knowledge and collaborative experience I will gain through this program will enhance my ability to contribute meaningfully to national and regional health emergency preparedness frameworks.
Additionally, I see this as an important step in my long-term vision of integrating modelling into routine public health planning, ensuring that disease control strategies are not just reactive but also anticipatory and resilient. Participating in this course will equip me with globally relevant tools while allowing me to tailor insights to local health system needs and realities
</t>
  </si>
  <si>
    <t>https://drive.google.com/open?id=17Yawe34AWqI5Vk1shlAvVtgkqEWNG-vQ</t>
  </si>
  <si>
    <t>https://drive.google.com/open?id=1fxhL33g6iSGRjVuyXZr8AWL4WFQ7DLkJ</t>
  </si>
  <si>
    <t>Well noted</t>
  </si>
  <si>
    <t>https://drive.google.com/open?id=1AayDpxXyDX-FiEZ8nQwSIkP1eCW6JwGt</t>
  </si>
  <si>
    <t>iyanuoluwa adufe</t>
  </si>
  <si>
    <t>30/05/2025 21:05:32</t>
  </si>
  <si>
    <t>Makandi</t>
  </si>
  <si>
    <t>Millicent</t>
  </si>
  <si>
    <t>Thumatia</t>
  </si>
  <si>
    <t>millicent1makandi@gmail.com</t>
  </si>
  <si>
    <t>+254726378515</t>
  </si>
  <si>
    <t>Ministry of Health, Kenya (Division Of Disease Surveillance and Response)</t>
  </si>
  <si>
    <t>National Surveillance Coordinator</t>
  </si>
  <si>
    <t>Throughout my career, I have honed my programming skills in R and STATA for data analysis and modeling, applying these skills extensively in epidemiological surveillance and public health research. As a surveillance coordinator, I lead disease surveillance efforts, generating weekly epidemiological bulletins and situational reports that anslyse trends using time-series models (ARIMA) and spatial analysis. These reports serve as critical tools for guiding public health interventions and resource allocation at the national and international levels. I have also developed automated data quality checking systems using custom R scripts to detect missing data, outliers, and validation errors in large surveillance datasets. This has been instrumental in the current mpox outbreak in Kenya, where I identified data inconsistencies between the national linelist and ADaM’s web portal in occupation distributions that could have led to flawed risk assessments, ensuring the planned vaccination efforts are targeted to high-risk groups. Beyond surveillance, my work at KEMRI-Wellcome Trust Research Programme involved conducting a meta-analysis, applying random effects models to assess sexually transmitted infection prevalence. Findings highlighted the need for additional routine antenatal screening protocols for Gonorrhea and Trichomoniasis, which were high among pregnant women. I have successfully used these skills to contribute to peer-reviewed publications</t>
  </si>
  <si>
    <t>In my research on perinatal mental health, I applied multilevel mixed-effects Poisson regression to model postpartum depression scores. This technique enabled me to account for both individual and facility-level variations. This model is potent in understanding hierarchical data structures, such as patients nested within healthcare facilities. By setting facility ownership (public vs private) and facility type (hospital vs health center) as random effects, I controlled for unobserved institutional factors that could influence mental health outcomes. Meanwhile, individual-level factors like social support, marital satisfaction, spousal violence, pregnancy complications, and prior mental health were included as fixed effects to isolate the impact of mistreatment during childbirth on postpartum depression.
To complement this, I used logistic regression to estimate the adjusted odds of postpartum depression among mistreated women, adjusting for confounders such as socioeconomic status and prenatal depression. These analyses revealed a strong independent association between mistreatment and postpartum depression, even after controlling for other risk factors.
This application of multilevel regression modelling has honed my skills in handling complex, hierarchical datasets—an essential competency for disease modelling and outbreak analysis, where multi-layered influences (e.g., individual, community, health system) must be considered to design effective interventions. It underscored the importance of rigorous statistical approaches in generating actionable insights that inform public health policy and improve health outcomes.</t>
  </si>
  <si>
    <t xml:space="preserve">My motivation to pursue this course stems from my strong commitment to utilizing mathematical modelling to enhance public health surveillance, disease outbreak response, and health policy formulation. As a National Surveillance Coordinator at the Ministry of Health, Kenya, I have witnessed firsthand the critical role of data-driven decision-making in managing public health threats. However, despite the availability of surveillance data, its full potential remains underutilized due to gaps in analytical capacity. By participating in this course, I aim to bridge this gap by acquiring mathematical modelling techniques that will enable me to generate predictive insights, optimize resource allocation, and design more effective intervention strategies.
Furthermore, my background in public health research has fueled my interest in quantitative approaches to understanding disease dynamics. My experience in conducting epidemiological analyses, including monitoring disease reporting variables and trends and outbreak investigations, has reinforced the necessity of integrating mathematical modeling to enhance predictive analytics and strategic planning. This course presents an invaluable opportunity for me to gain hands-on experience with cutting-edge modeling tools, refine my analytical skills, and contribute to evidence-based public health decision-making in Kenya and beyond
</t>
  </si>
  <si>
    <t>While I have worked extensively with data analysis tools such as STATA, R, and DHIS2, my exposure to formal mathematical modeling techniques has been limited. However, I recently participated in the Center for Epidemiological Modelling and Analysis (CEMA)/Vaccine Impact Modelling Consortium training on Mathematical Modelling for Vaccine-Preventable Diseases, which introduced me to foundational concepts in modeling infectious disease transmission and vaccine impact assessment.
Moreover, in my role as a National Surveillance Officer, I have collaborated with modellers to interpret disease forecasting data and assess intervention scenarios. These experiences have deepened my appreciation for the role of modeling in public health decision-making, and I am eager to strengthen my technical expertise in this domain. By engaging in this course, I seek to build on my existing analytical skills, gain proficiency in dynamic modeling techniques, and effectively apply these skills in my work.</t>
  </si>
  <si>
    <t>https://drive.google.com/open?id=1_5eROFhLlmSSWK-Tq3thHlmDZPa875uX</t>
  </si>
  <si>
    <t>https://drive.google.com/open?id=1QgBST7rSJIM96v1j1R2KS0bmU7Dr8XdN</t>
  </si>
  <si>
    <t>https://drive.google.com/open?id=11DFsO0a3OnN3TLrCA36bSN6naIjcUmCd</t>
  </si>
  <si>
    <t>millicent makandi</t>
  </si>
  <si>
    <t>millicent makandi - millicent makandi</t>
  </si>
  <si>
    <t>30/05/2025 21:47:36</t>
  </si>
  <si>
    <t>Republic of Chad</t>
  </si>
  <si>
    <t>Walda</t>
  </si>
  <si>
    <t>Ambadi</t>
  </si>
  <si>
    <t>ibrahimwaldaambadi9@gmail.com</t>
  </si>
  <si>
    <t>+237659141031</t>
  </si>
  <si>
    <t>Afri-Food Safety and One Health Agency (AFS1HA)</t>
  </si>
  <si>
    <t>Associate Researcher and Scientific Member at the Agri-Food Safety and One Health Agency (AFS1HA).</t>
  </si>
  <si>
    <t>In my master's thesis titled "Food Exposure to Tropane Alkaloids (Atropine/Scopolamine) in Cereal-Based Foods among Children and Adults in N'Djamena, Chad, in Relation to Consumer Health," I used R software as my primary tool for data analysis.
I began by importing my data on alkaloid levels in various cereal-based foods using the readr package. Next, I used dplyr to clean and manipulate the data, filtering relevant samples and calculating the concentrations of atropine and scopolamine.
To model food exposure, I applied statistical methods with the glm package to perform logistic regressions, identifying factors associated with increased exposure. Finally, I used ggplot2 to visualize the results, allowing me to clearly present the potential impact on consumer health.
This approach enabled me to quantify food exposure to tropane alkaloids and draw meaningful conclusions for my research.</t>
  </si>
  <si>
    <t>While doing my master's research, in my work, I used logistic regression to analyze data on food exposure to tropane alkaloids (atropine and scopolamine) in cereal-based foods. This concept is particularly useful when modeling a binary dependent variable, such as the presence or absence of a certain concentration of alkaloids in the samples.
Logistic regression allowed me to evaluate the impact of various factors, such as age, type of cereal consumed, and dietary habits, on the probability of exposure to alkaloids. Using this method, I was able to identify which variables were significantly associated with increased exposure.
The results were represented in the form of odds ratios, facilitating the interpretation of the effects of different variables. This analysis enabled me to formulate informed recommendations regarding potential health risks for consumers and guide awareness strategies related to food safety.</t>
  </si>
  <si>
    <t>My interest in infectious disease modeling stems from my passion for public health and the need to anticipate and respond effectively to epidemics. Modeling allows for the analysis of disease spread and the evaluation of the impact of health interventions, which is crucial in an increasingly interconnected world.
Understanding transmission dynamics helps identify the most vulnerable populations and optimize health resources. Additionally, models can simulate different scenarios, facilitating informed decision-making to prevent health crises.
Working on global health-related projects also motivates me, as I aim to contribute to solutions that improve the health of populations, particularly in resource-limited areas. Ultimately, infectious disease modeling is an essential tool for building a safer and healthier future for all.</t>
  </si>
  <si>
    <t>I wish to participate in this course because it represents a valuable opportunity to deepen my knowledge in disease modeling, an essential field for pandemic preparedness and response. Having already acquired skills in infectious disease research, this course will complement my training by providing practical tools and advanced methods. It aligns perfectly with my future goals, particularly my commitment to contributing to public health in Africa.
As a member of the CREMIND scholarship team at KNUST 2025 (funded by GlaxoSmithKline (GSK)), I am working in a team on projects aimed at understanding and combating infectious diseases under the supervision of Dr. Yaa Asantewaa Osei, Senior Lecturer in the Department of Pharmaceutics at KNUST and a member of the CREMIND 2025 training faculty. The training will enable me to develop predictive models that can help anticipate the spread of epidemics and assess the effectiveness of interventions. Ultimately, participating in this course will enhance my ability to make a positive impact on the health of vulnerable communities and contribute to sustainable solutions in the face of global health challenges.</t>
  </si>
  <si>
    <t>https://drive.google.com/open?id=1UVaAgdAoQGIRLqIom6XrnfZuYRJSzoP3</t>
  </si>
  <si>
    <t>https://drive.google.com/open?id=1kS2W5D1QMiLTUobQf8RimkB-3KUsz7VT</t>
  </si>
  <si>
    <t>https://drive.google.com/open?id=1CvmI6JrPreYSRWiC7KYCfOL54ud66fv7</t>
  </si>
  <si>
    <t>ibrahim walda</t>
  </si>
  <si>
    <t>walda ibrahim ambadi</t>
  </si>
  <si>
    <t>31/05/2025 06:56:27</t>
  </si>
  <si>
    <t>DOMONHEDO</t>
  </si>
  <si>
    <t>Abel</t>
  </si>
  <si>
    <t>Enock Tintonme</t>
  </si>
  <si>
    <t>adomonhedo@gmail.com</t>
  </si>
  <si>
    <t>+2290167610560</t>
  </si>
  <si>
    <t>FHI360</t>
  </si>
  <si>
    <t>Clinical officer</t>
  </si>
  <si>
    <t>I have over six years of experience using R for data analysis in public health projects, particularly in the context of HIV/AIDS and tuberculosis prevention and management. My use of R includes data cleaning, descriptive and inferential statistics, data visualization, and basic modelling. As part of a project aimed at increasing HIV testing among vulnerable groups, I used R to process and analyze survey data collected through community outreach initiatives. I applied logistic regression models to identify factors associated with testing acceptance. The results highlighted that participation of peer educators and prior awareness of HIV significantly influenced individuals' willingness to undergo testing.. These findings helped inform the design of targeted communication strategies and improved service delivery. In my current master’s program, I continue to deepen my use of R for risk analysis and exploring modelling techniques related to zoonotic disease transmission under the One Health framework.</t>
  </si>
  <si>
    <t xml:space="preserve">Logistic regression is a fundamental statistical approach I frequently employ to examine binary outcomes in public health research. During a project focused on evaluating the effectiveness of a tuberculosis contact tracing strategy, we aimed to understand which factors increased the likelihood of early TB diagnosis among household contacts of confirmed cases. We collected data on variables such as age, gender, previous TB history, HIV status, and household size. For instance, I developed a multivariate logistic regression model using R to assess the influence of various demographic and clinical factors on early tuberculosis diagnosis among household contacts. The analysis revealed that being HIV-positive and living in a household with more than five members significantly increased the odds of being diagnosed early. This insight was crucial for refining our contact tracing protocol to prioritize high-risk households and integrate routine HIV testing into TB contact investigations. Currently, in my master's training focused on health risk analysis within the One Health framework, I am also investigating how regression models can integrate animal and environmental data to assess zoonotic risks. Logistic regression is especially valuable in public health because it provides interpretable results that directly inform policy and practice. This approach helps clarify how different exposure variables relate to health outcomes, supports targeted interventions, and improves prevention planning. Its utility in controlling infectious diseases and informing health strategies has made it a key component of my analytical toolkit.
</t>
  </si>
  <si>
    <t>My interest in infectious disease modelling stems from field experiences where the lack of predictive tools hindered timely outbreak responses and may have cost lives.  My current academic focus on One Health and health risk analysis further deepens my motivation, especially as I learn how environmental, animal, and human health factors interact in the emergence of zoonoses. Disease modelling serves as a vital approach to forecast potential outbreaks, evaluate intervention strategies, and support informed policymaking. In regions like sub-Saharan Africa, where resources are often limited, being able to simulate health scenarios enhances strategic planning and efficient resource use. I am particularly drawn to how modelling supports community-level prevention strategies and surveillance systems, especially in controlling zoonotic spillovers. By developing my modelling skills, I aim to help strengthen Africa’s public health systems and promote anticipatory responses based on local epidemiological data.</t>
  </si>
  <si>
    <t>This course presents an opportunity to further develop my skills in modelling infectious diseases, particularly in relation to zoonotic threats and preparedness initiatives guided by the One Health concept. The course’s interdisciplinary and hands-on approach aligns perfectly with my background in clinical and public health practice, as well as my academic focus on health risk analysis. This training will directly support my goal of integrating modelling into national and community-level disease surveillance and response systems. In the long term, I aim to contribute to research and public health policy that incorporates predictive modelling to address emerging infectious threats in Africa. Being part of G-WAC will also allow me to engage with leading experts and peers in the field, fostering collaborations that are essential for transdisciplinary approaches to global health challenges. The practical and collaborative format of the training aligns with my ongoing academic and professional goals. The expertise and network I would gain through this program are key to advancing evidence-based approaches for anticipating and mitigating future zoonotic outbreaks in Africa.</t>
  </si>
  <si>
    <t>https://drive.google.com/open?id=1_Yh2aLQFHwa5KIqyN-4WXGERVXunqIt5</t>
  </si>
  <si>
    <t>https://drive.google.com/open?id=1w7csIaAIGCOeVUXe4qV6rUEt_o5g5T9d</t>
  </si>
  <si>
    <t>https://drive.google.com/open?id=1ZZRZeFqc-m0nSLTkNgtifOUpwBRsw937</t>
  </si>
  <si>
    <t>abel domonhedo</t>
  </si>
  <si>
    <t>31/05/2025 10:58:05</t>
  </si>
  <si>
    <t>Somuah</t>
  </si>
  <si>
    <t>Augustine</t>
  </si>
  <si>
    <t>*</t>
  </si>
  <si>
    <t>a.somuah@kccr.de</t>
  </si>
  <si>
    <t>+233542398281</t>
  </si>
  <si>
    <t>Kumasi Centre for Collaborative Research in Tropical Medicine</t>
  </si>
  <si>
    <t>Laboratory Scientist</t>
  </si>
  <si>
    <t>I have experience using R for data analysis and statistical modelling, particularly in vector-borne disease research. My skills in R include data wrangling, scientific data management, spatial analysis, and creating reproducible visualisations. Additionally, I have used SPSS, Jamovi, and ArcGIS—the latter supporting bioimaging and spatial data integration.
In one study, I used R to analyse the prevalence and spatial distribution of flea species in the Mampong Municipality. I applied descriptive statistics and mapping techniques to reveal patterns in vector presence, which informed targeted surveillance. I also used R in the MAMCo Study, which investigated how co-infection with Schistosoma and Plasmodium influences Anopheles mosquito attraction. This involved cleaning and analysing large datasets from field collections and laboratory assays to determine the significance of infection status on mosquito behaviour.
To further develop my analytical skills, I participated in a three-day Advanced Regression Analysis Workshop organised by the Bernhard Nocht Institute for Tropical Medicine and the Kumasi Centre for Collaborative Research. This training strengthened my proficiency in regression modelling, adjusting for confounding, and model interpretation—all critical for generating actionable insights from complex biological data.</t>
  </si>
  <si>
    <t>My research at the Kumasi Centre for Collaborative Research in Tropical Medicine has focused on generating and analysing quantitative data to inform vector and parasite control—critical components of pandemic preparedness. I have conducted WHO phenotypic bioassays on Anopheles, Culex, and Aedes mosquitoes. While Anopheles is the main malaria vector, Aedes species are of growing importance due to their role in transmitting arboviruses such as dengue, yellow fever, and Zika—diseases with epidemic and pandemic potential.
These bioassays involved exposing mosquitoes to insecticides and measuring mortality rates, which generate quantitative data essential for monitoring resistance. I also contributed to the MAMCo Study, where we assessed the attractiveness of Anopheles mosquitoes to individuals co-infected with Schistosoma and Plasmodium. This involved collecting data on mosquito attraction and host infection status.
Using R, I analysed and visualised data such as mortality counts, survival times, and behavioural responses. These analyses translated raw data into meaningful insights for vector control and surveillance planning.
This quantitative approach supports my research and aligns with the G-WAC course’s focus on evidence-based disease modelling. I am eager to build on this foundation to support preparedness against emerging vector-borne threats.</t>
  </si>
  <si>
    <t>My motivation stems from my desire to contribute meaningfully to infectious disease control, particularly in regions like sub-Saharan Africa that face a high burden of vector-borne and emerging infections. Through my research in malaria entomology and vector surveillance, I have directly observed how these diseases disrupt communities and strain public health systems.
I am particularly drawn to infectious disease modelling because of its power to unravel complex transmission dynamics, predict outbreak trajectories, and evaluate intervention strategies in real time. These capabilities are essential for informed public health decision-making, especially in contexts where resources are limited and rapid response is critical.
I am also inspired by the One Health approach, which recognises the interconnectedness of human, animal, and environmental health. Modelling is uniquely suited to this approach, as it allows integration of diverse data to understand disease emergence and spread across sectors.
My passion lies in leveraging scientific and quantitative tools to produce evidence that can inform policy, preparedness, and action. Modelling equips researchers not only to understand disease but to anticipate and prevent its impact—making it a critical skill for anyone committed to strengthening public and global health systems.</t>
  </si>
  <si>
    <t>I am eager to participate in the G-WAC Disease Modelling for Pandemic Preparedness and Response Certificate Course because it directly supports my goal of contributing to infectious disease control through evidence-based, quantitative approaches. Having a background in malaria entomology, infectious disease research, and data analysis using R, I see this course as the next step in building the skills necessary to analyse and model disease dynamics.
The course’s emphasis on hands-on, Africa-specific modelling and its integration with One Health principles align perfectly with my research interests and the challenges I have encountered in the field. While I currently use statistical tools to analyse entomological and parasitological data, I want to deepen my modelling capacity to develop predictive tools that can guide policy and interventions.
Participating in this course will prepare me to contribute more effectively to outbreak prediction, vector control planning, and health systems preparedness. These are critical needs not only for malaria but also for other emerging threats like arboviruses transmitted by Aedes mosquitoes—vectors I have worked with in my research.
Ultimately, this training aligns with my aspiration to join a leading research institution and apply advanced modelling methods to strengthen public health responses across Africa.</t>
  </si>
  <si>
    <t>https://drive.google.com/open?id=1t8TnVjrpnDMm3JOAp4Eb5mjaZgutGFx1</t>
  </si>
  <si>
    <t>https://drive.google.com/open?id=1oZfWZeL-IdBkpOLKmvd0RDYbg9Y2FBCL</t>
  </si>
  <si>
    <t>https://drive.google.com/open?id=1Eso-cJ1mq849-uLwa1fhdlPPH23gYdeT</t>
  </si>
  <si>
    <t>augustine somuah</t>
  </si>
  <si>
    <t>31/05/2025 12:09:15</t>
  </si>
  <si>
    <t>Mwazuma</t>
  </si>
  <si>
    <t>Edwin</t>
  </si>
  <si>
    <t>Dzoro</t>
  </si>
  <si>
    <t>edwin.mwazuma@aku.edu</t>
  </si>
  <si>
    <t>+254 727362504</t>
  </si>
  <si>
    <t>Aga Khan University</t>
  </si>
  <si>
    <t>Masters Fellow</t>
  </si>
  <si>
    <t>I have been using Python and R for data analysis and modelling, particularly in health data. During my recent work as a Research Assistant at Aga Khan University and through my ongoing master’s studies in statistics and data science, I have used Python for tasks such as data cleaning, statistical analysis, and predictive modelling. For instance, I used Python’s pandas, statsmodels, and scikit-learn libraries to examine factors influencing neurocognitive outcomes among adolescents in Kenya, applying regression models to explore associations between mental health indicators and cognitive performance.
In a separate academic project, I implemented a Bayesian inference model in R, using the brms package to analyze age-related effects in clinical data, interpreting credible intervals and posterior distributions. I also have experience visualizing complex data with tools like ggplot2, matplotlib, and seaborn, which has been essential for communicating findings to non-technical stakeholders</t>
  </si>
  <si>
    <t xml:space="preserve">
One key quantitative concept I have applied extensively in my work is regression analysis, particularly linear and logistic regression, to investigate associations between health-related variables. Regression models allow us to quantify the relationship between one or more independent variables and an outcome of interest, adjusting for potential confounders.
For example, in a recent research project evaluating neurocognitive outcomes among adolescents in Kenya, I used multiple linear regression to examine how socioeconomic status, mental health (measured using PHQ-9 and GAD-7), and parent-adolescent relationships predicted cognitive scores from standardized assessments like the OXEF and Raven’s Progressive Matrices. This analysis provided insights into which factors had statistically significant effects and helped identify vulnerable subgroups in need of targeted interventions.
In another project (school assignment) using data from an ecological experiment, I applied generalized linear mixed models (GLMMs) to assess the effect of simulated climate scenarios on pear yield and quality. These models helped us account for the nested experimental design and random effects of the Ecotrons. Understanding and applying GLMMs was crucial for making valid inferences about fixed effects like temperature or rainfall.
Regression modelling has also been instrumental in understanding public health trends and guiding decisions, such as estimating the impact of health interventions or identifying risk factors for diseases. The ability to interpret coefficients, confidence intervals, and interaction effects has been essential in all these analyses.
</t>
  </si>
  <si>
    <t>My interest in infectious disease modelling stems from its critical role in saving lives and shaping effective public health responses, especially in resource-limited settings. Growing up in Kenya, I witnessed firsthand how outbreaks like cholera and malaria disrupt communities, often without timely data or interventions to prevent escalation. Studying Statistics and Data Science has shown me how powerful modelling can be in understanding disease dynamics, predicting outbreaks, and informing policy.
The COVID-19 pandemic further emphasized the importance of locally relevant models, as many global models failed to account for the unique demographics, health systems, and environmental factors present in sub-Saharan Africa. I believe infectious disease modelling tailored to African contexts is essential for building health system resilience and ensuring evidence-based policymaking.
I am motivated to contribute to this field because it sits at the intersection of data science, epidemiology, and social impact. By improving modelling capacity within Africa, we can drive more targeted interventions, reduce disease burdens, and strengthen preparedness for future pandemics. G-WAC presents a unique opportunity for me to gain the technical skills and interdisciplinary knowledge needed to make a meaningful contribution.</t>
  </si>
  <si>
    <t>I am eager to participate in this course because it offers a rare opportunity to gain hands-on training in disease modelling tailored to African health systems. As a statistician and data science student with a background in health research, I recognize the urgent need for context-specific modelling capacity to inform pandemic preparedness and control of endemic diseases across the continent.
This course aligns directly with my long-term goal of becoming a public health data scientist, contributing to national and regional efforts in infectious disease surveillance, outbreak response, and health policy development. The in-person format at KNUST and collaboration with German institutions also offers a valuable platform for interdisciplinary exchange and future research partnerships.
I plan to apply the knowledge and skills gained through this training to ongoing and future research projects in Kenya and beyond, helping bridge the gap between data, models, and real-world health decision-making. Participation in the G-WAC course will be a key step toward that goal.</t>
  </si>
  <si>
    <t>https://drive.google.com/open?id=1dKrEti3ESodC5SMWLZ7UXPm1itdNjXe_</t>
  </si>
  <si>
    <t>https://drive.google.com/open?id=1Dnxm3GaN4UufdGbJcZadkhBE0LXEz44Z</t>
  </si>
  <si>
    <t>https://drive.google.com/open?id=1BW1I5WXiI7iedcSO85TyPiEpKLCdjAjZ</t>
  </si>
  <si>
    <t>edwin mwazuma</t>
  </si>
  <si>
    <t>31/05/2025 15:16:22</t>
  </si>
  <si>
    <t>Kasambula</t>
  </si>
  <si>
    <t>Arthur</t>
  </si>
  <si>
    <t>Shem</t>
  </si>
  <si>
    <t>arthurshem86@gmail.com</t>
  </si>
  <si>
    <t>+256704391232</t>
  </si>
  <si>
    <t>Public Health Emergency Operations Center, Uganda</t>
  </si>
  <si>
    <t>Analyst</t>
  </si>
  <si>
    <t>Through my master’s degree I was introduced to compartmental models and I applied these to COVID-19 datasets during the start of the pandemic. Additionally, I have offered courses from coursera and future learn that were focused on developing SIR models. Through these courses I improved my knowledge on designing and implementing mathematical models in R. I am also glad to have joined data modelling networks like AMMNET through which I have participated in various workshops, webinars, and hackathons focusing application of machine learning and Bayesian methods to analyses malaria data sets. Participation in these workshops enabled me to identify additional skills I needed to obtain so as to improve my data analytics portfolio and include; R programming, Python, and C++. These programming languages are also frequently used for mathematical modelling.</t>
  </si>
  <si>
    <t>During the COVID-19 outbreak, I deployed ordinary differential equations through the SIR (Susceptible-Infectious- Recovered) model to understand and predict the spread of the outbreak. I defined the rates at which individuals move between compartments and estimated how quickly the outbreak could grow and what level of intervention (isolation or vaccination) would flatten the curve. This quantitative framework was particularly useful during outbreak simulations and informed strategic planning for resource allocation and response timing</t>
  </si>
  <si>
    <t>Professionally, I have had the privilege of coordinating data analysis teams during outbreak response and I have developed a profound understanding of the consequences of inadequate analysis outputs and their impact on both the outbreak trajectory due to extremely inaccurate predictions as well as stakeholders bias due to poor analytics. And for this reason, I am always looking out for opportunities to improve my knowledge and expand my skill set in analysis of outbreak data and development of infectious disease models, not only to benefit my career through generating effective outputs and make robust recommendations to stakeholders but also to improve the efficiency of my team as a whole as well as the networks I am involved with. As a resourceful and driven candidate, I am committed to expanding my network during the short course and leveraging them in future to advance capacity for mathematical modelling in Africa. The networking opportunities during this short course will also be invaluable as I explore collaborations and begin looking for PhD options.</t>
  </si>
  <si>
    <t>For the past five years, I have been deployed by CDC-funded partners and the Ministry of Health to support outbreak preparedness and response in Uganda. My core responsibilities range from designing data collection surveys, conducting data analysis during active outbreaks for COVID-19, Ebola, Marburg, and Malaria, to planning and budgeting during the preparedness period. So far, I have supported the design of over 3 research protocols during outbreaks and two malaria surveys in eight different districts across the country and I acknowledge that all these studies and surveys could benefit from mathematical modelling to enhance the usefulness of the data generated. Similarly, I led the data analytics team during the Ebola 2022 outbreak to provide daily analysis of the outbreak trajectory and generate situation reports to support decision making by the stakeholders. By participating in this course, I aim to gain knowledge on advanced modelling techniques and analytical tools to enhance disease surveillance, policy advisory, and epidemic forecasting in Uganda. Learning from experts at Imperial College London will enable me to contribute effectively to the global effort in infectious disease control while reinforcing Uganda’s capacity for epidemic preparedness and response.</t>
  </si>
  <si>
    <t>https://drive.google.com/open?id=1CAjCSrSKDXIWFBSdcNSda_ZLUYaoWtcg</t>
  </si>
  <si>
    <t>https://drive.google.com/open?id=1HmX5t3io3zo0BNjNyzdXoJJm5ZhidezF</t>
  </si>
  <si>
    <t>https://drive.google.com/open?id=1sR6KeNj4623j3VPoufR-3HiNBArzOJWp</t>
  </si>
  <si>
    <t>arthur kasambula</t>
  </si>
  <si>
    <t>31/05/2025 18:13:27</t>
  </si>
  <si>
    <t>Nsemani</t>
  </si>
  <si>
    <t>William</t>
  </si>
  <si>
    <t>William Nsemani</t>
  </si>
  <si>
    <t>nsemaniwilliam@gmail.com</t>
  </si>
  <si>
    <t>+260970251882</t>
  </si>
  <si>
    <t>Zambia National Public Health Institute under Ministry of Health</t>
  </si>
  <si>
    <t>Field Epidemiology Mentor</t>
  </si>
  <si>
    <t>Several programming languages are popular for data analysis in public health, including STATA, Python, R, SQL, and SAS. Python is particularly favored due to its simplicity, readability, and extensive libraries for data manipulation, visualization, and machine learning, while R is strong in statistical modeling and bioinformatics. SQL is essential for querying relational databases, where much healthcare data is stored. SAS is a comprehensive statistical software suite often used in public health research.
In my studies, I have used STATA programming language in the analysis of data in my research. I have equally used R programming language in solving public health problem. For example, I have used these statistical programming languages to establish the factors associated with diarrhea in children under five years in Monze district of Zambia. Following the implementation of the findings of this study in Monze district, we have witnessed a reduction in diarrheal cases amongst children under five years.</t>
  </si>
  <si>
    <t xml:space="preserve">Quantitative concept is one of the methods used in studies, and is well defined as a research techniques that focus on quantifying data and generalizing results from a sample to a larger population. This approach often involves the use of statistical analysis to understand patterns, relationships, and trends in numerical data, which can be crucial for assessing program effectiveness and making informed decisions for improvement. By using surveys or experiments, these methods can quantify changes in health behaviors, disease rates, or other key indicators. This rigorous analysis helps identify what aspects of a program are effective and where improvements are needed, ultimately supporting evidence-based decision-making.
On the other hand, regression is among the analytical methods used to make informed decisions. Regression analysis is a powerful statistical tool used to establish relationships between variables. In the context of public health, it plays a crucial role in understanding the factors that influence health outcomes, behaviors, and the effectiveness of interventions. By mastering regression analysis, researchers and policymakers can make informed decisions based on data-driven insights.
There are several types of regression analysis, including:
•	Simple Linear Regression: Models the relationship between a single independent variable and a continuous dependent variable.
•	Multiple Linear Regression: Extends simple linear regression to include multiple independent variables.
•	Logistic Regression: Used when the dependent variable is binary (e.g., disease presence/absence).
•	Other advanced techniques include polynomial regression, generalized linear models, and generalized additive models.
Regression analysis is widely applied in various fields, including:
•	Epidemiology: To study the distribution and determinants of health-related events, diseases, or health-related characteristics among populations. I used this analysis to determine several outbreaks such as cholera in Zambia.
•	Health Services Research: To evaluate the effectiveness, efficiency, and accessibility of healthcare services. I have also used this method perform public health research e.g. factors associated with diarrheal cases in children under five years in Monze district of Zambia.
</t>
  </si>
  <si>
    <t>Having worked in the Ministry of Health for close to 17 years now, I have observed that there is low utilization of infectious disease modelling techniques for early detection and quick response to the occurrence of disease outbreaks in various settings of the country. The delay in disease detection has its own negative consequences.
Zambia, is one of the countries in the category of Low and Middle Income Countries (LMICs) where the application of data science has not been highly appreciated among practitioners in public health. Many public health challenges such as early detection of outbreaks, purely relies on the ability to understand data management processes involving data collection, data input, data processing, data analysis, data interpretation and finally decision making based on the available data. This further calls for an individual’s capacity to apply statistical software packages in order to arrive at the right and acceptable scientific decisions. The application of artificial intelligence remains one of the corner stone in resolving public health challenges in Zambia and globally. The earlier the public health threat is detected, the easy and possibly cheaper it is to resolve it.</t>
  </si>
  <si>
    <t xml:space="preserve">My participation in this course would help me learn and share new skills, knowledge, ideas, methods, new cultures, and new ways of effective application of data science in early disease outbreaks detection and timely response.  
Upon completion of this course, the skills obtained will help to build on my desire to pursue statistical modelling program in public health. Further, these skills will help to provide aid to process, manage, analyze, and assimilate the large quantities of fragmented, structured, and unstructured data created by healthcare systems. This will also see effective management and analysis to acquire factual results. The skills on data science and big data analytics will help to provide practical insights and aid in the decision-making of strategic decisions concerning the health system and build a comprehensive view of patients, consumers, and clinicians. Data-driven decision-making will further help to open up new possibilities to boost healthcare quality. Additionally,  these skills will help to promote scientific and evidence-based methods in dealing with the public health challenges; Ensure use of data to improve methods of engaging communities in the fight against infectious diseases and other public health threats; Advocate for scientific research through the application of data science aimed at reducing the impacts of certain infectious diseases in my country and across borders. </t>
  </si>
  <si>
    <t>https://drive.google.com/open?id=17r462lgI_lxXHyENACs3WjZ2lMbR0qMC</t>
  </si>
  <si>
    <t>https://drive.google.com/open?id=1qKVX9A1XlsLG3R_aXw9dikuy6pqva2F8</t>
  </si>
  <si>
    <t>https://drive.google.com/open?id=1VdghJZqJ2MeZ1ygL5JNsUATyGQdTcHGg</t>
  </si>
  <si>
    <t>william nsemani</t>
  </si>
  <si>
    <t>31/05/2025 22:15:27</t>
  </si>
  <si>
    <t>Johngwe</t>
  </si>
  <si>
    <t xml:space="preserve">Mac Juliette </t>
  </si>
  <si>
    <t>Njekeh</t>
  </si>
  <si>
    <t>johngwejuliette@gmail.com</t>
  </si>
  <si>
    <t>+237672637191</t>
  </si>
  <si>
    <t>Cameroon Epidemio-surveillance Network for Animal Diseases (CENAD)</t>
  </si>
  <si>
    <t>Intern</t>
  </si>
  <si>
    <t>During my postgraduate studies in Infectious Diseases and Antimicrobial Resistance, I developed proficiency in R programming, which proved instrumental in my data analysis work. One key project involved analyzing spatial trends in antimicrobial resistance (AMR) using Moran’s I, a spatial autocorrelation metric. I leveraged R for preprocessing, visualizing, and statistically modeling AMR prevalence across different regions.
A notable challenge I tackled was integrating Geographic Information Systems (GIS) data with AMR surveillance to assess hotspots of resistance. By combining spatial databases with statistical modeling, I identified areas with significant clustering of resistant pathogens, providing actionable insights for targeted intervention. My hands-on experience with R and GIS not only strengthened my analytical skills but also reinforced my appreciation for data-driven decision-making in infectious disease surveillance.</t>
  </si>
  <si>
    <t xml:space="preserve">During my postgraduate studies and dissertation research, I relied extensively on R programming and QGIS for analyzing antimicrobial resistance (AMR) trends, identifying hotspots, and mapping the distribution of resistant pathogens. Spatial databases and GIS technologies enabled me to visualize AMR patterns geographically, offering crucial insights for targeted intervention strategies.
Using QGIS, I managed spatial databases that stored AMR surveillance data, allowing me to perform spatial analysis and create high-resolution maps displaying resistance trends across different regions. The ability to overlay disease prevalence with environmental and healthcare infrastructure data provided a comprehensive view of how resistance spreads and where interventions should be prioritized.
R programming played a vital role in statistical analysis, where I employed regression models to understand the corelation between water abiotic varialbes and AMR as an indicator of antimicrobial misuse and resistance trends. 
Additionally, my exposure to quantum mechanics applications in disease prediction has broadened my perspective on advanced modelling techniques. The intersection of quantum computing and epidemiology holds immense promise for refining disease surveillance, offering faster and more precise predictive capabilities that complement traditional statistical models
</t>
  </si>
  <si>
    <t xml:space="preserve">My interest in infectious disease modelling stems from its transformative potential in disease prevention and preparedness. With growing climate change, global worming in an evolving world driving more frequent outbreaks of emerging and re-emerging infectious diseases, refining my ability to mathematically predict outbreaks, optimize resource allocation, and inform public health policies is interesting to me. With the emergence of antimicrobial resistance and novel pathogens, traditional surveillance methods are often reactive rather than proactive. Disease modelling bridges this gap, enabling early detection and intervention.
Having studied quantum GIS role in disease prediction during my internship, I appreciate how cutting-edge approaches enhance predictive accuracy. The integration of spatial, temporal, and machine learning models in surveillance has solidified my commitment to contributing to this evolving field. By harnessing computational techniques, infectious disease modelling improves outbreak response strategies, strengthens global health security, and ultimately saves lives.
</t>
  </si>
  <si>
    <t>This course presents an invaluable opportunity to refine my expertise in disease modelling and expand my analytical toolkit. Given my background in R programming, GIS, and quantum-based predictive methods, I am eager to deepen my understanding of advanced modelling techniques and their practical applications in public health.
Furthermore, participating in this course aligns perfectly with my future aspirations of contributing to global health preparedness strategies. I aim to integrate predictive modelling into antimicrobial resistance mitigation efforts, ensuring data-driven policies are implemented. Additionally, I am particularly interested in interdisciplinary approaches, bridging mathematical modelling, AI, and epidemiology to create more robust surveillance systems.
By joining this course, I will gain critical insights, collaborate with experts, and refine my ability to translate complex modelling outputs that will allow public health officials to make accurate real time forcast to disease threats. My long-term goal is to contribute to policy frameworks that utilize computational intelligence for disease prevention, making this course an essential stepping stone in my professional journey.</t>
  </si>
  <si>
    <t>https://drive.google.com/open?id=1_VQuxA1wgyUuTpMvmMqNPEHI2jIW2lbN</t>
  </si>
  <si>
    <t>https://drive.google.com/open?id=1bTYrPpAO6owL_tCTanjlUrey2ruviIrX</t>
  </si>
  <si>
    <t>https://drive.google.com/open?id=1OJbEPT49FBwX_L-4n0S1yMeHwkr5-6VJ</t>
  </si>
  <si>
    <t>mac juliette johngwe</t>
  </si>
  <si>
    <t>01/06/2025 23:39:53</t>
  </si>
  <si>
    <t>Umar</t>
  </si>
  <si>
    <t>Usman</t>
  </si>
  <si>
    <t>Yahya</t>
  </si>
  <si>
    <t>uthmanumar@yahoo.com</t>
  </si>
  <si>
    <t>2348084613474</t>
  </si>
  <si>
    <t xml:space="preserve">Aminu Kano Teaching hospital Kano Nigeria </t>
  </si>
  <si>
    <t xml:space="preserve">Clinical microbiologist/Epidemiologist </t>
  </si>
  <si>
    <t xml:space="preserve">As an epidemiologist trend of diseases always interest me. I have used R for trend analysis in the context of disease spread, focusing on identifying patterns over time using visualization tools. Specifically, I worked with the ggplot2 library to create clear and informative plots that helped reveal trends in infection rates and  supported data driven insight. This experience sparked my interest in applying modelling techniques to real world public health challenges. I am eager to join this one-week modelling training to strengthen my analytical skills, learn more advance modelling methods, and expand my ability to contribute effectively to data-driven decision making. </t>
  </si>
  <si>
    <t>As an infectious disease epidemiologist, I used regression analysis, a statistical method that assists in understanding the relationship between variables. It is beneficial for identifying which factors are associated with disease spread and/or severity. in one of my studies, I used multiple linear regression to examine how variables like contact duration, immunosuppression status, nutrition, previous surgery, stay in prison, and stages of the disease determine outcome, death from multidrug-resistant TB among patients with TB attending the infectious diseases unit of my hospital.
The regression outcome demonstrated that stages of the disease, previous immunosuppression, surgery, and use of anti-TB medications were among the adverse factors that portend a bad outcome, death among the patients. These findings informed public health recommendations, allowing decision-makers to prioritize interventions in high-risk populations and take appropriate measures accordingly.</t>
  </si>
  <si>
    <t>The interplay of disease, data, and their dynamics and decision making has long fascinated me. During the COVID-19 pandemic, a lot of infectious disease data modelers have made meaningful contributions to our battle against the pandemic. I saw how robust infectious diseases models could help inform public health responses at a larger scale-demonstrating both the potential and responsibility for the modelling process.
with my strong and sound foundation in epidemiology and quantitative methods, I have applied regression and time series models to study the spread of diseases like Yellow fever and Dengue. These have taught me not only the technicalities and rigor but also the significance of applying models to real-world challenges.
I'm motivated to further my expertise in infectious diseases modelling to contribute more to equitable global health. I'm particularly interested in how models could be applied to early detection of outbreaks, vaccine distribution, and policy prioritization.
I'm eager to be part of this wonderful opportunity, where my technical skills can directly inform interventions and where I can continue learning from leaders in public health modelling if successful.</t>
  </si>
  <si>
    <t>I'm applying to this infectious disease modelling programme because it offers a unique training that aligns with both my current expertise and long-term professional goals. With a foundation in epidemiology and statistical methods, I have been involved in analysing infectious disease trends and exploring data-driven approaches to health interventions. However, I'm seeking to deepen my ability to construct and apply dynamic models that can predict outbreaks, guide resource allocation, and inform public health policy.
This programme will allow me to consolidate my skills in areas such as compartmental modelling, parameter estimation, and uncertainty estimation, capabilities that are pivotal in today's global health landscape. Similarly, I'm eager to learn how to apply modelling in addressing policy-related issues, especially in low-resource settings where the impact can be more transformative.
Participation in this programme directly supports my vision of becoming a global health professional who utilizes quantitative tools to support infectious disease preparedness and response. I believe the training, mentorship and the interdisciplinary approach offered will be foundational for the work I intend to undertake at the intersection of data science and health equity.</t>
  </si>
  <si>
    <t>https://drive.google.com/open?id=1dSFUu2K4X965P4qJFk5uZ8XnZ66t5qEH</t>
  </si>
  <si>
    <t>https://drive.google.com/open?id=1Xh65RoIo1ZA0BW48gnlVOqk8BY5p0m6V</t>
  </si>
  <si>
    <t>https://drive.google.com/open?id=1WMhIUM1_WdOjcD4eFCkWWrn405ASXAAw</t>
  </si>
  <si>
    <t>usman umar</t>
  </si>
  <si>
    <r>
      <rPr>
        <sz val="11"/>
        <color theme="1"/>
        <rFont val="Calibri"/>
        <family val="2"/>
      </rPr>
      <t xml:space="preserve">If yes, follow the link to submit the abstract:  </t>
    </r>
    <r>
      <rPr>
        <u/>
        <sz val="11"/>
        <color rgb="FF1155CC"/>
        <rFont val="Calibri"/>
        <family val="2"/>
      </rPr>
      <t>https://lnkd.in/eH6xUHv9</t>
    </r>
  </si>
  <si>
    <t xml:space="preserve">    </t>
  </si>
  <si>
    <r>
      <rPr>
        <sz val="11"/>
        <rFont val="Calibri"/>
        <family val="2"/>
      </rPr>
      <t xml:space="preserve">If yes, follow the link to submit the abstract:  </t>
    </r>
    <r>
      <rPr>
        <u/>
        <sz val="11"/>
        <color rgb="FF1155CC"/>
        <rFont val="Calibri"/>
        <family val="2"/>
      </rPr>
      <t>https://lnkd.in/eH6xUHv9</t>
    </r>
  </si>
  <si>
    <t>First 20 with balanced nationality</t>
  </si>
  <si>
    <t>Malawi</t>
  </si>
  <si>
    <t>Ethiopia</t>
  </si>
  <si>
    <t>South Africa</t>
  </si>
  <si>
    <t>Kenya</t>
  </si>
  <si>
    <t>Tanzania</t>
  </si>
  <si>
    <t>Additional 2 for more female uptake</t>
  </si>
  <si>
    <t>2 more female intake at a cheaper cost from picking Ghana only.</t>
  </si>
  <si>
    <t>IF NEED BE, we can even substitute expensive candidates with this 2 to get 20</t>
  </si>
  <si>
    <t>Additional good candidates but NO added value to the diversity</t>
  </si>
  <si>
    <t>Zambia</t>
  </si>
  <si>
    <r>
      <rPr>
        <sz val="11"/>
        <rFont val="Calibri"/>
        <family val="2"/>
      </rPr>
      <t xml:space="preserve">If yes, follow the link to submit the abstract:  </t>
    </r>
    <r>
      <rPr>
        <u/>
        <sz val="11"/>
        <color rgb="FF1155CC"/>
        <rFont val="Calibri"/>
        <family val="2"/>
      </rPr>
      <t>https://lnkd.in/eH6xUHv9</t>
    </r>
  </si>
  <si>
    <t>Uganda</t>
  </si>
  <si>
    <t>Babirye Shakira</t>
  </si>
  <si>
    <t>bbrshakira@gmail.com</t>
  </si>
  <si>
    <t>Infectious Diseases Institute</t>
  </si>
  <si>
    <t> Senior Statistician/Data Science Team lead &amp; Deputy Manager of Statistics unit </t>
  </si>
  <si>
    <t>naomietedto@gmail.com</t>
  </si>
  <si>
    <t>University of Dschang, Cameroon / International Centre for Insect Physiology and Ecology (icipe), Kenya</t>
  </si>
  <si>
    <t> PhD candidate in Applied Mathematics, trained on mathematical modelling</t>
  </si>
  <si>
    <t>Charlene Naomie Tedto Mfangnia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</si>
</sst>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font>
    <font>
      <sz val="11"/>
      <color theme="1"/>
      <name val="Calibri"/>
      <family val="2"/>
      <scheme val="minor"/>
    </font>
    <font>
      <u/>
      <sz val="11"/>
      <color theme="10"/>
      <name val="Calibri"/>
      <family val="2"/>
    </font>
    <font>
      <u/>
      <sz val="11"/>
      <color theme="1"/>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rgb="FF0000FF"/>
      <name val="Calibri"/>
      <family val="2"/>
    </font>
    <font>
      <b/>
      <sz val="11"/>
      <color rgb="FFFF0000"/>
      <name val="Calibri"/>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u/>
      <sz val="11"/>
      <color rgb="FF1155CC"/>
      <name val="Calibri"/>
      <family val="2"/>
    </font>
    <font>
      <sz val="11"/>
      <name val="Calibri"/>
      <family val="2"/>
    </font>
    <font>
      <u/>
      <sz val="11"/>
      <color theme="10"/>
      <name val="Calibri"/>
      <family val="2"/>
      <scheme val="minor"/>
    </font>
    <font>
      <sz val="11"/>
      <color rgb="FF000000"/>
      <name val="Calibri"/>
      <family val="2"/>
      <scheme val="minor"/>
    </font>
    <font>
      <u/>
      <sz val="11"/>
      <color theme="1"/>
      <name val="Calibri"/>
      <family val="2"/>
      <scheme val="minor"/>
    </font>
    <font>
      <sz val="11"/>
      <color rgb="FF000000"/>
      <name val="Arial"/>
      <family val="2"/>
    </font>
  </fonts>
  <fills count="18">
    <fill>
      <patternFill patternType="none"/>
    </fill>
    <fill>
      <patternFill patternType="gray125"/>
    </fill>
    <fill>
      <patternFill patternType="solid">
        <fgColor rgb="FFEFEFEF"/>
        <bgColor rgb="FFEFEFEF"/>
      </patternFill>
    </fill>
    <fill>
      <patternFill patternType="solid">
        <fgColor rgb="FF38761D"/>
        <bgColor rgb="FF38761D"/>
      </patternFill>
    </fill>
    <fill>
      <patternFill patternType="solid">
        <fgColor rgb="FF93C47D"/>
        <bgColor rgb="FF93C47D"/>
      </patternFill>
    </fill>
    <fill>
      <patternFill patternType="solid">
        <fgColor rgb="FF6AA84F"/>
        <bgColor rgb="FF6AA84F"/>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B6D7A8"/>
        <bgColor rgb="FFB6D7A8"/>
      </patternFill>
    </fill>
    <fill>
      <patternFill patternType="solid">
        <fgColor rgb="FF92D050"/>
        <bgColor indexed="64"/>
      </patternFill>
    </fill>
    <fill>
      <patternFill patternType="solid">
        <fgColor rgb="FF92D050"/>
        <bgColor rgb="FF38761D"/>
      </patternFill>
    </fill>
    <fill>
      <patternFill patternType="solid">
        <fgColor rgb="FFFFC000"/>
        <bgColor rgb="FF38761D"/>
      </patternFill>
    </fill>
    <fill>
      <patternFill patternType="solid">
        <fgColor rgb="FFFFC000"/>
        <bgColor indexed="64"/>
      </patternFill>
    </fill>
    <fill>
      <patternFill patternType="solid">
        <fgColor rgb="FFFFFF00"/>
        <bgColor indexed="64"/>
      </patternFill>
    </fill>
    <fill>
      <patternFill patternType="solid">
        <fgColor rgb="FF92D050"/>
        <bgColor rgb="FFFF9900"/>
      </patternFill>
    </fill>
    <fill>
      <patternFill patternType="solid">
        <fgColor rgb="FF92D050"/>
        <bgColor rgb="FFEFEFEF"/>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0" fillId="0" borderId="0" applyNumberFormat="0" applyFill="0" applyBorder="0" applyAlignment="0" applyProtection="0"/>
  </cellStyleXfs>
  <cellXfs count="6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2" fillId="0" borderId="0" xfId="0" applyFont="1" applyAlignment="1">
      <alignment horizontal="center"/>
    </xf>
    <xf numFmtId="0" fontId="3" fillId="0" borderId="0" xfId="0" applyFont="1" applyAlignment="1">
      <alignment horizontal="center"/>
    </xf>
    <xf numFmtId="0" fontId="2" fillId="2" borderId="0" xfId="0" applyFont="1" applyFill="1" applyAlignment="1">
      <alignment horizontal="center"/>
    </xf>
    <xf numFmtId="0" fontId="4" fillId="0" borderId="1" xfId="0" applyFont="1" applyBorder="1" applyAlignment="1">
      <alignment horizontal="center" vertical="top"/>
    </xf>
    <xf numFmtId="0" fontId="2" fillId="3" borderId="0" xfId="0" applyFont="1" applyFill="1" applyAlignment="1">
      <alignment horizontal="center"/>
    </xf>
    <xf numFmtId="0" fontId="5" fillId="3" borderId="0" xfId="0" applyFont="1" applyFill="1" applyAlignment="1">
      <alignment horizontal="center"/>
    </xf>
    <xf numFmtId="0" fontId="2" fillId="4" borderId="0" xfId="0" applyFont="1" applyFill="1" applyAlignment="1">
      <alignment horizontal="center"/>
    </xf>
    <xf numFmtId="0" fontId="6" fillId="4" borderId="0" xfId="0" applyFont="1" applyFill="1" applyAlignment="1">
      <alignment horizontal="center"/>
    </xf>
    <xf numFmtId="0" fontId="2" fillId="5" borderId="0" xfId="0" applyFont="1" applyFill="1" applyAlignment="1">
      <alignment horizontal="center"/>
    </xf>
    <xf numFmtId="0" fontId="7" fillId="5" borderId="0" xfId="0" applyFont="1" applyFill="1" applyAlignment="1">
      <alignment horizontal="center"/>
    </xf>
    <xf numFmtId="0" fontId="2" fillId="6" borderId="0" xfId="0" applyFont="1" applyFill="1" applyAlignment="1">
      <alignment horizontal="center"/>
    </xf>
    <xf numFmtId="0" fontId="8" fillId="6" borderId="0" xfId="0" applyFont="1" applyFill="1" applyAlignment="1">
      <alignment horizontal="center"/>
    </xf>
    <xf numFmtId="0" fontId="2" fillId="7" borderId="0" xfId="0" applyFont="1" applyFill="1" applyAlignment="1">
      <alignment horizontal="center"/>
    </xf>
    <xf numFmtId="0" fontId="9" fillId="7" borderId="0" xfId="0" applyFont="1" applyFill="1" applyAlignment="1">
      <alignment horizontal="center"/>
    </xf>
    <xf numFmtId="0" fontId="2" fillId="8" borderId="0" xfId="0" applyFont="1" applyFill="1" applyAlignment="1">
      <alignment horizontal="center"/>
    </xf>
    <xf numFmtId="0" fontId="10" fillId="8" borderId="0" xfId="0" applyFont="1" applyFill="1" applyAlignment="1">
      <alignment horizontal="center"/>
    </xf>
    <xf numFmtId="0" fontId="2" fillId="8" borderId="0" xfId="0" applyFont="1" applyFill="1"/>
    <xf numFmtId="0" fontId="2" fillId="9" borderId="0" xfId="0" applyFont="1" applyFill="1" applyAlignment="1">
      <alignment horizontal="center"/>
    </xf>
    <xf numFmtId="0" fontId="11" fillId="0" borderId="1" xfId="0" applyFont="1" applyBorder="1" applyAlignment="1">
      <alignment horizontal="center" vertical="top"/>
    </xf>
    <xf numFmtId="0" fontId="12" fillId="0" borderId="0" xfId="0" applyFont="1" applyAlignment="1">
      <alignment horizontal="center"/>
    </xf>
    <xf numFmtId="0" fontId="1" fillId="0" borderId="0" xfId="0" applyFont="1" applyAlignment="1">
      <alignment horizontal="center"/>
    </xf>
    <xf numFmtId="0" fontId="13" fillId="0" borderId="0" xfId="0" applyFont="1" applyAlignment="1">
      <alignment horizontal="center"/>
    </xf>
    <xf numFmtId="0" fontId="1" fillId="0" borderId="0" xfId="0" applyFont="1"/>
    <xf numFmtId="0" fontId="1" fillId="3" borderId="0" xfId="0" applyFont="1" applyFill="1" applyAlignment="1">
      <alignment horizontal="center"/>
    </xf>
    <xf numFmtId="0" fontId="14" fillId="3" borderId="0" xfId="0" applyFont="1" applyFill="1" applyAlignment="1">
      <alignment horizontal="center"/>
    </xf>
    <xf numFmtId="0" fontId="1" fillId="3" borderId="0" xfId="0" applyFont="1" applyFill="1"/>
    <xf numFmtId="0" fontId="1" fillId="5" borderId="0" xfId="0" applyFont="1" applyFill="1" applyAlignment="1">
      <alignment horizontal="center"/>
    </xf>
    <xf numFmtId="0" fontId="15" fillId="5" borderId="0" xfId="0" applyFont="1" applyFill="1" applyAlignment="1">
      <alignment horizontal="center"/>
    </xf>
    <xf numFmtId="0" fontId="1" fillId="5" borderId="0" xfId="0" applyFont="1" applyFill="1"/>
    <xf numFmtId="0" fontId="1" fillId="4" borderId="0" xfId="0" applyFont="1" applyFill="1" applyAlignment="1">
      <alignment horizontal="center"/>
    </xf>
    <xf numFmtId="0" fontId="16" fillId="4" borderId="0" xfId="0" applyFont="1" applyFill="1" applyAlignment="1">
      <alignment horizontal="center"/>
    </xf>
    <xf numFmtId="0" fontId="1" fillId="4" borderId="0" xfId="0" applyFont="1" applyFill="1"/>
    <xf numFmtId="0" fontId="1" fillId="6" borderId="0" xfId="0" applyFont="1" applyFill="1" applyAlignment="1">
      <alignment horizontal="center"/>
    </xf>
    <xf numFmtId="0" fontId="17" fillId="6" borderId="0" xfId="0" applyFont="1" applyFill="1" applyAlignment="1">
      <alignment horizontal="center"/>
    </xf>
    <xf numFmtId="0" fontId="1" fillId="6" borderId="0" xfId="0" applyFont="1" applyFill="1"/>
    <xf numFmtId="0" fontId="1" fillId="9" borderId="0" xfId="0" applyFont="1" applyFill="1" applyAlignment="1">
      <alignment horizontal="center"/>
    </xf>
    <xf numFmtId="0" fontId="1" fillId="4" borderId="0" xfId="0" applyFont="1" applyFill="1" applyAlignment="1">
      <alignment horizontal="center" wrapText="1"/>
    </xf>
    <xf numFmtId="0" fontId="1" fillId="6" borderId="0" xfId="0" applyFont="1" applyFill="1" applyAlignment="1">
      <alignment horizontal="center" wrapText="1"/>
    </xf>
    <xf numFmtId="0" fontId="2" fillId="0" borderId="0" xfId="0" applyFont="1" applyAlignment="1">
      <alignment horizontal="center" wrapText="1"/>
    </xf>
    <xf numFmtId="0" fontId="20" fillId="0" borderId="0" xfId="1" applyAlignment="1">
      <alignment horizontal="center"/>
    </xf>
    <xf numFmtId="0" fontId="2" fillId="6" borderId="0" xfId="0" applyFont="1" applyFill="1" applyAlignment="1">
      <alignment horizontal="center" wrapText="1"/>
    </xf>
    <xf numFmtId="0" fontId="2" fillId="8" borderId="0" xfId="0" applyFont="1" applyFill="1" applyAlignment="1">
      <alignment horizontal="center" wrapText="1"/>
    </xf>
    <xf numFmtId="0" fontId="0" fillId="10" borderId="0" xfId="0" applyFill="1"/>
    <xf numFmtId="0" fontId="1" fillId="11" borderId="0" xfId="0" applyFont="1" applyFill="1" applyAlignment="1">
      <alignment horizontal="center"/>
    </xf>
    <xf numFmtId="0" fontId="14" fillId="11" borderId="0" xfId="0" applyFont="1" applyFill="1" applyAlignment="1">
      <alignment horizontal="center"/>
    </xf>
    <xf numFmtId="0" fontId="1" fillId="11" borderId="0" xfId="0" applyFont="1" applyFill="1"/>
    <xf numFmtId="0" fontId="1" fillId="11" borderId="0" xfId="0" applyFont="1" applyFill="1" applyAlignment="1">
      <alignment horizontal="center" wrapText="1"/>
    </xf>
    <xf numFmtId="0" fontId="1" fillId="12" borderId="0" xfId="0" applyFont="1" applyFill="1" applyAlignment="1">
      <alignment horizontal="center"/>
    </xf>
    <xf numFmtId="0" fontId="11" fillId="12" borderId="0" xfId="0" applyFont="1" applyFill="1" applyAlignment="1">
      <alignment horizontal="center"/>
    </xf>
    <xf numFmtId="0" fontId="1" fillId="12" borderId="0" xfId="0" applyFont="1" applyFill="1"/>
    <xf numFmtId="0" fontId="0" fillId="13" borderId="0" xfId="0" applyFill="1"/>
    <xf numFmtId="0" fontId="21" fillId="14" borderId="0" xfId="0" applyFont="1" applyFill="1"/>
    <xf numFmtId="0" fontId="23" fillId="14" borderId="0" xfId="0" applyFont="1" applyFill="1"/>
    <xf numFmtId="0" fontId="0" fillId="14" borderId="0" xfId="0" applyFill="1"/>
    <xf numFmtId="0" fontId="2" fillId="15" borderId="0" xfId="0" applyFont="1" applyFill="1" applyAlignment="1">
      <alignment horizontal="center"/>
    </xf>
    <xf numFmtId="0" fontId="2" fillId="15" borderId="0" xfId="0" applyFont="1" applyFill="1" applyAlignment="1">
      <alignment horizontal="center" wrapText="1"/>
    </xf>
    <xf numFmtId="0" fontId="10" fillId="15" borderId="0" xfId="0" applyFont="1" applyFill="1" applyAlignment="1">
      <alignment horizontal="center"/>
    </xf>
    <xf numFmtId="0" fontId="2" fillId="10" borderId="0" xfId="0" applyFont="1" applyFill="1" applyAlignment="1">
      <alignment horizontal="center"/>
    </xf>
    <xf numFmtId="0" fontId="22" fillId="10" borderId="0" xfId="1" applyFont="1" applyFill="1" applyAlignment="1">
      <alignment horizontal="center"/>
    </xf>
    <xf numFmtId="0" fontId="2" fillId="10" borderId="0" xfId="0" applyFont="1" applyFill="1" applyAlignment="1">
      <alignment horizontal="center" wrapText="1"/>
    </xf>
    <xf numFmtId="0" fontId="2" fillId="16" borderId="0" xfId="0" applyFont="1" applyFill="1" applyAlignment="1">
      <alignment horizontal="center"/>
    </xf>
    <xf numFmtId="0" fontId="2" fillId="10" borderId="0" xfId="0" applyFont="1" applyFill="1"/>
    <xf numFmtId="0" fontId="0" fillId="17" borderId="0" xfId="0" applyFill="1"/>
  </cellXfs>
  <cellStyles count="2">
    <cellStyle name="Hyperlink" xfId="1" builtinId="8"/>
    <cellStyle name="Normal" xfId="0" builtinId="0"/>
  </cellStyles>
  <dxfs count="0"/>
  <tableStyles count="0" defaultTableStyle="TableStyleMedium2" defaultPivotStyle="PivotStyleLight16"/>
  <colors>
    <mruColors>
      <color rgb="FFA5E6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JWtCx77G6HEQ7ig2f3WgXF2WW3xkhUVm" TargetMode="External"/><Relationship Id="rId299" Type="http://schemas.openxmlformats.org/officeDocument/2006/relationships/hyperlink" Target="https://drive.google.com/open?id=1St4aIshxr2edc5nB2jU8iqOk7JMQnmav" TargetMode="External"/><Relationship Id="rId21" Type="http://schemas.openxmlformats.org/officeDocument/2006/relationships/hyperlink" Target="https://drive.google.com/open?id=1yVinI9mZDtyVv36SToSqbLPMd8qNMyE7" TargetMode="External"/><Relationship Id="rId63" Type="http://schemas.openxmlformats.org/officeDocument/2006/relationships/hyperlink" Target="https://drive.google.com/open?id=1UDMvWHw3wQ07fxuYAc5vIb6pmOil-zjX" TargetMode="External"/><Relationship Id="rId159" Type="http://schemas.openxmlformats.org/officeDocument/2006/relationships/hyperlink" Target="https://drive.google.com/open?id=19UoPYvmSnNb91SiE5JkTZrs4LqezB7KM" TargetMode="External"/><Relationship Id="rId324" Type="http://schemas.openxmlformats.org/officeDocument/2006/relationships/hyperlink" Target="https://drive.google.com/open?id=1YIhYXKss3DTLBM7UU_yYqLdpzRhLpOOr" TargetMode="External"/><Relationship Id="rId170" Type="http://schemas.openxmlformats.org/officeDocument/2006/relationships/hyperlink" Target="https://drive.google.com/open?id=1AtWJT3h4twJIcZLjwq_nqY_7ouS9Fe3j" TargetMode="External"/><Relationship Id="rId226" Type="http://schemas.openxmlformats.org/officeDocument/2006/relationships/hyperlink" Target="https://drive.google.com/open?id=1uiQk4TfiZZWWxOXjkK_435QQWhToGRJg" TargetMode="External"/><Relationship Id="rId268" Type="http://schemas.openxmlformats.org/officeDocument/2006/relationships/hyperlink" Target="https://drive.google.com/open?id=1ozOzq65877nH7_bl-lYZkNEOgSv5IonB" TargetMode="External"/><Relationship Id="rId32" Type="http://schemas.openxmlformats.org/officeDocument/2006/relationships/hyperlink" Target="https://drive.google.com/open?id=1It7OT318DG_LZqRV7iWKtdDjHNFHiyU1" TargetMode="External"/><Relationship Id="rId74" Type="http://schemas.openxmlformats.org/officeDocument/2006/relationships/hyperlink" Target="https://drive.google.com/open?id=1R77ciirHhPysbciJYofd4jqSTow-rniw" TargetMode="External"/><Relationship Id="rId128" Type="http://schemas.openxmlformats.org/officeDocument/2006/relationships/hyperlink" Target="https://drive.google.com/open?id=1wI1lt881ESE6lEzW5P5igNfzQ9whqZKF" TargetMode="External"/><Relationship Id="rId335" Type="http://schemas.openxmlformats.org/officeDocument/2006/relationships/hyperlink" Target="https://drive.google.com/open?id=1QgBST7rSJIM96v1j1R2KS0bmU7Dr8XdN" TargetMode="External"/><Relationship Id="rId5" Type="http://schemas.openxmlformats.org/officeDocument/2006/relationships/hyperlink" Target="https://drive.google.com/open?id=1im8Kli0IcDfP5_E3BQ44zRFVYRS23A6v" TargetMode="External"/><Relationship Id="rId181" Type="http://schemas.openxmlformats.org/officeDocument/2006/relationships/hyperlink" Target="https://drive.google.com/open?id=1GWGQ70MMnm6XFaPBdFQAXU5XyWyQzGwQ" TargetMode="External"/><Relationship Id="rId237" Type="http://schemas.openxmlformats.org/officeDocument/2006/relationships/hyperlink" Target="https://drive.google.com/open?id=184FmJUxtuBZ2-YEG3QO22es_RXhmdjXn" TargetMode="External"/><Relationship Id="rId279" Type="http://schemas.openxmlformats.org/officeDocument/2006/relationships/hyperlink" Target="https://drive.google.com/open?id=1GOvZwtVk4OuEDBZhmj-oZWMjjQ1SNCXr" TargetMode="External"/><Relationship Id="rId43" Type="http://schemas.openxmlformats.org/officeDocument/2006/relationships/hyperlink" Target="https://drive.google.com/open?id=1fBfes7naKqkUvESEA9u9O9ki7FU1KiFS" TargetMode="External"/><Relationship Id="rId139" Type="http://schemas.openxmlformats.org/officeDocument/2006/relationships/hyperlink" Target="https://drive.google.com/open?id=1zMWiXaFHStsxTVntTjLl1vgWw4xeZICG" TargetMode="External"/><Relationship Id="rId290" Type="http://schemas.openxmlformats.org/officeDocument/2006/relationships/hyperlink" Target="https://drive.google.com/open?id=1j7qssuJSwksEHr4ISypqfWVtL3vuVwMC" TargetMode="External"/><Relationship Id="rId304" Type="http://schemas.openxmlformats.org/officeDocument/2006/relationships/hyperlink" Target="https://drive.google.com/open?id=10kMH1-huoFW2ku9jmvfp-N9G0uSpJdHl" TargetMode="External"/><Relationship Id="rId346" Type="http://schemas.openxmlformats.org/officeDocument/2006/relationships/hyperlink" Target="https://drive.google.com/open?id=1dKrEti3ESodC5SMWLZ7UXPm1itdNjXe_" TargetMode="External"/><Relationship Id="rId85" Type="http://schemas.openxmlformats.org/officeDocument/2006/relationships/hyperlink" Target="https://drive.google.com/open?id=1fKlaSZYPl-kUPQhMuYvCQ7HlR5HcQjGh" TargetMode="External"/><Relationship Id="rId150" Type="http://schemas.openxmlformats.org/officeDocument/2006/relationships/hyperlink" Target="https://drive.google.com/open?id=1HMh6wY4HrqMpIbiKmuSAgL8sqNll4pdN" TargetMode="External"/><Relationship Id="rId192" Type="http://schemas.openxmlformats.org/officeDocument/2006/relationships/hyperlink" Target="https://drive.google.com/open?id=1kijV_JenNIqI96qzpzVbwjbs4fkGEA6O" TargetMode="External"/><Relationship Id="rId206" Type="http://schemas.openxmlformats.org/officeDocument/2006/relationships/hyperlink" Target="https://drive.google.com/open?id=1AfQ_OH7jT5JuH2Fm7C57kyzv-wCCNH8Y" TargetMode="External"/><Relationship Id="rId248" Type="http://schemas.openxmlformats.org/officeDocument/2006/relationships/hyperlink" Target="https://drive.google.com/open?id=1Y24zYNqCVJ7cVd2jevCoZVjPkAL1G-Ya" TargetMode="External"/><Relationship Id="rId12" Type="http://schemas.openxmlformats.org/officeDocument/2006/relationships/hyperlink" Target="https://drive.google.com/open?id=1Q_DYbl_IlwS0p4LpDMo_gL3s1U9nJI0r" TargetMode="External"/><Relationship Id="rId108" Type="http://schemas.openxmlformats.org/officeDocument/2006/relationships/hyperlink" Target="https://drive.google.com/open?id=1oFlXO2s-HZExjsRm0HDr9nK3oRbdHykx" TargetMode="External"/><Relationship Id="rId315" Type="http://schemas.openxmlformats.org/officeDocument/2006/relationships/hyperlink" Target="https://drive.google.com/open?id=1fcYILU6KE61dNhTnYSqFiFSFWuTr7e1n" TargetMode="External"/><Relationship Id="rId357" Type="http://schemas.openxmlformats.org/officeDocument/2006/relationships/hyperlink" Target="https://drive.google.com/open?id=1OJbEPT49FBwX_L-4n0S1yMeHwkr5-6VJ" TargetMode="External"/><Relationship Id="rId54" Type="http://schemas.openxmlformats.org/officeDocument/2006/relationships/hyperlink" Target="https://drive.google.com/open?id=1_luzGS3-SXpQRVeQyMV4RdyT70Wk8JG5" TargetMode="External"/><Relationship Id="rId96" Type="http://schemas.openxmlformats.org/officeDocument/2006/relationships/hyperlink" Target="https://drive.google.com/open?id=1Z8DUCxqoLGj9gwOmsdXbg1B2M9Pf_6yx" TargetMode="External"/><Relationship Id="rId161" Type="http://schemas.openxmlformats.org/officeDocument/2006/relationships/hyperlink" Target="https://drive.google.com/open?id=1hUdsUtkBTELzPGH6wPpw5LkAKzirwR_2" TargetMode="External"/><Relationship Id="rId217" Type="http://schemas.openxmlformats.org/officeDocument/2006/relationships/hyperlink" Target="https://drive.google.com/open?id=1FRdZA1sx6N-UNlMk7slBJnQs9MaeiW3e" TargetMode="External"/><Relationship Id="rId259" Type="http://schemas.openxmlformats.org/officeDocument/2006/relationships/hyperlink" Target="https://drive.google.com/open?id=1b2Vh9ixkHQ1FZ0CVwOSs_QtQUKXGu_Zk" TargetMode="External"/><Relationship Id="rId23" Type="http://schemas.openxmlformats.org/officeDocument/2006/relationships/hyperlink" Target="https://drive.google.com/open?id=1rAMue_cYrtMWvVgBiSoJf3oRu0sF892X" TargetMode="External"/><Relationship Id="rId119" Type="http://schemas.openxmlformats.org/officeDocument/2006/relationships/hyperlink" Target="https://drive.google.com/open?id=1H0rRVlVumARz4cdlTnYNASQQWVtdKjkY" TargetMode="External"/><Relationship Id="rId270" Type="http://schemas.openxmlformats.org/officeDocument/2006/relationships/hyperlink" Target="https://drive.google.com/open?id=1hJNAMJEiRck2U89w9r7-_ZCXEjuLGUj-" TargetMode="External"/><Relationship Id="rId326" Type="http://schemas.openxmlformats.org/officeDocument/2006/relationships/hyperlink" Target="https://drive.google.com/open?id=19HCuT4oOg1vPVYo5Gr1_Nf4M6k0VTaAr" TargetMode="External"/><Relationship Id="rId65" Type="http://schemas.openxmlformats.org/officeDocument/2006/relationships/hyperlink" Target="https://drive.google.com/open?id=1k9bs8I7AauGmfoOE14q8vRgCdBFcRfv6" TargetMode="External"/><Relationship Id="rId130" Type="http://schemas.openxmlformats.org/officeDocument/2006/relationships/hyperlink" Target="https://drive.google.com/open?id=1iIPfdV7CU81MQVgitrZUtUfSXktwSXGZ" TargetMode="External"/><Relationship Id="rId172" Type="http://schemas.openxmlformats.org/officeDocument/2006/relationships/hyperlink" Target="https://drive.google.com/open?id=1sWtS9SxWigqTEpQ4sRF5TYuqQvp05j6r" TargetMode="External"/><Relationship Id="rId228" Type="http://schemas.openxmlformats.org/officeDocument/2006/relationships/hyperlink" Target="https://drive.google.com/open?id=1YWRwGEsVMnLB_eqQtNgujw2IAGTpq5S8" TargetMode="External"/><Relationship Id="rId281" Type="http://schemas.openxmlformats.org/officeDocument/2006/relationships/hyperlink" Target="https://drive.google.com/open?id=1B-82u1BygVaM9_mOmrewL1Taeo3dqxdC" TargetMode="External"/><Relationship Id="rId337" Type="http://schemas.openxmlformats.org/officeDocument/2006/relationships/hyperlink" Target="https://drive.google.com/open?id=1UVaAgdAoQGIRLqIom6XrnfZuYRJSzoP3" TargetMode="External"/><Relationship Id="rId34" Type="http://schemas.openxmlformats.org/officeDocument/2006/relationships/hyperlink" Target="https://drive.google.com/open?id=1k9yfa5eVVMBzdDbtdqm8C1arUnBVfVQR" TargetMode="External"/><Relationship Id="rId76" Type="http://schemas.openxmlformats.org/officeDocument/2006/relationships/hyperlink" Target="https://drive.google.com/open?id=1LhMtpJv5Vzihyc8vVzyZ5S_2XlyahG3T" TargetMode="External"/><Relationship Id="rId141" Type="http://schemas.openxmlformats.org/officeDocument/2006/relationships/hyperlink" Target="https://drive.google.com/open?id=1lFsARrBmSiDc8Aee-K6bvz-RrQ5ZC9H0" TargetMode="External"/><Relationship Id="rId7" Type="http://schemas.openxmlformats.org/officeDocument/2006/relationships/hyperlink" Target="https://drive.google.com/open?id=1RN3d2Ln2AIskywYfmS6v0DhTOTh88_Wo" TargetMode="External"/><Relationship Id="rId183" Type="http://schemas.openxmlformats.org/officeDocument/2006/relationships/hyperlink" Target="https://drive.google.com/open?id=1WwccifVnCaE09v3BTUCqiExwNvZhUHHd" TargetMode="External"/><Relationship Id="rId239" Type="http://schemas.openxmlformats.org/officeDocument/2006/relationships/hyperlink" Target="https://drive.google.com/open?id=14Fq8QvfoATIlmxnEBqoviDVbu5qMzFH5" TargetMode="External"/><Relationship Id="rId250" Type="http://schemas.openxmlformats.org/officeDocument/2006/relationships/hyperlink" Target="https://drive.google.com/open?id=1YRPr_LvOyWVrwEJMMBNTepOmwGduyg3Q" TargetMode="External"/><Relationship Id="rId292" Type="http://schemas.openxmlformats.org/officeDocument/2006/relationships/hyperlink" Target="https://drive.google.com/open?id=1cML2vneqKqCxJcKlX8-9dkiV493WifW2" TargetMode="External"/><Relationship Id="rId306" Type="http://schemas.openxmlformats.org/officeDocument/2006/relationships/hyperlink" Target="https://drive.google.com/open?id=1_J8-l53MXWb3aqFIPrOMOf7EWlULwab5" TargetMode="External"/><Relationship Id="rId45" Type="http://schemas.openxmlformats.org/officeDocument/2006/relationships/hyperlink" Target="https://drive.google.com/open?id=10rBnXyWvFmAJlH8ka0B-oCJpWvqd00-T" TargetMode="External"/><Relationship Id="rId87" Type="http://schemas.openxmlformats.org/officeDocument/2006/relationships/hyperlink" Target="https://drive.google.com/open?id=1h9NzfDlzlQzzVnXxIUZqs8GtH5qo_JlO" TargetMode="External"/><Relationship Id="rId110" Type="http://schemas.openxmlformats.org/officeDocument/2006/relationships/hyperlink" Target="https://drive.google.com/open?id=11h33vu-D-F5k_uST3MvS-bN6Hy75Y8Cm" TargetMode="External"/><Relationship Id="rId348" Type="http://schemas.openxmlformats.org/officeDocument/2006/relationships/hyperlink" Target="https://drive.google.com/open?id=1BW1I5WXiI7iedcSO85TyPiEpKLCdjAjZ" TargetMode="External"/><Relationship Id="rId152" Type="http://schemas.openxmlformats.org/officeDocument/2006/relationships/hyperlink" Target="https://drive.google.com/open?id=1I9xQXkJr8mLQYPn74lNTpFmAZ73QmTvA" TargetMode="External"/><Relationship Id="rId194" Type="http://schemas.openxmlformats.org/officeDocument/2006/relationships/hyperlink" Target="https://drive.google.com/open?id=1nCVV7HVUrHCKvVTTWbEO5iGcR2RnLNw4" TargetMode="External"/><Relationship Id="rId208" Type="http://schemas.openxmlformats.org/officeDocument/2006/relationships/hyperlink" Target="https://drive.google.com/open?id=1ZpVBodUkOwtI9oIdY_eA1sm9ckpxLmw8" TargetMode="External"/><Relationship Id="rId261" Type="http://schemas.openxmlformats.org/officeDocument/2006/relationships/hyperlink" Target="https://drive.google.com/open?id=1tra0tu1srtqWPfglWip5jg5cIcbFNadk" TargetMode="External"/><Relationship Id="rId14" Type="http://schemas.openxmlformats.org/officeDocument/2006/relationships/hyperlink" Target="https://drive.google.com/open?id=15ug1JDNiotIZ9dX6YwrsWww5Isxt4ggM" TargetMode="External"/><Relationship Id="rId56" Type="http://schemas.openxmlformats.org/officeDocument/2006/relationships/hyperlink" Target="https://drive.google.com/open?id=1TOq9uXc5hKOR74_M3kKSdzbBx-LTEm_8" TargetMode="External"/><Relationship Id="rId317" Type="http://schemas.openxmlformats.org/officeDocument/2006/relationships/hyperlink" Target="https://drive.google.com/open?id=1UZAIEt_5-RMXqRC0-rjQtV6znJRQnxu1" TargetMode="External"/><Relationship Id="rId359" Type="http://schemas.openxmlformats.org/officeDocument/2006/relationships/hyperlink" Target="https://drive.google.com/open?id=1Xh65RoIo1ZA0BW48gnlVOqk8BY5p0m6V" TargetMode="External"/><Relationship Id="rId98" Type="http://schemas.openxmlformats.org/officeDocument/2006/relationships/hyperlink" Target="https://drive.google.com/open?id=1M_65YtBzuJcj2jgoX42e-OmOwIzjl3FO" TargetMode="External"/><Relationship Id="rId121" Type="http://schemas.openxmlformats.org/officeDocument/2006/relationships/hyperlink" Target="https://drive.google.com/open?id=1d92hY3qW6JQXpxTAVhXxP-iCLkr3W5O2" TargetMode="External"/><Relationship Id="rId163" Type="http://schemas.openxmlformats.org/officeDocument/2006/relationships/hyperlink" Target="https://drive.google.com/open?id=1YBEZUssT-IxYtW0vAVehr6ZQ4xdBlrLA" TargetMode="External"/><Relationship Id="rId219" Type="http://schemas.openxmlformats.org/officeDocument/2006/relationships/hyperlink" Target="https://drive.google.com/open?id=1MjJ0yP-fyzpc3gNGxSNWDzar2E1iAKtS" TargetMode="External"/><Relationship Id="rId230" Type="http://schemas.openxmlformats.org/officeDocument/2006/relationships/hyperlink" Target="https://drive.google.com/open?id=1bwkt3zdV8pKCCNHSxvRucNEu6tnRR4wx" TargetMode="External"/><Relationship Id="rId25" Type="http://schemas.openxmlformats.org/officeDocument/2006/relationships/hyperlink" Target="https://drive.google.com/open?id=1JuVlAA-5GOZwIxHRJmPfKe0aAkEzcR0i" TargetMode="External"/><Relationship Id="rId46" Type="http://schemas.openxmlformats.org/officeDocument/2006/relationships/hyperlink" Target="https://drive.google.com/open?id=10R_f38D1jqc_6rz0y07oT1MCPsQHeFZQ" TargetMode="External"/><Relationship Id="rId67" Type="http://schemas.openxmlformats.org/officeDocument/2006/relationships/hyperlink" Target="https://drive.google.com/open?id=1OhKlLOmmSZe_l1isaf3iyDsOPajOplXr" TargetMode="External"/><Relationship Id="rId272" Type="http://schemas.openxmlformats.org/officeDocument/2006/relationships/hyperlink" Target="https://drive.google.com/open?id=1prfSOXKrjWS_xQ95fZpqujdgYp67WQLd" TargetMode="External"/><Relationship Id="rId293" Type="http://schemas.openxmlformats.org/officeDocument/2006/relationships/hyperlink" Target="https://drive.google.com/open?id=1EZqEmyL-UFcapLjQtaktHSKgm7ZLcHPz" TargetMode="External"/><Relationship Id="rId307" Type="http://schemas.openxmlformats.org/officeDocument/2006/relationships/hyperlink" Target="https://drive.google.com/open?id=10C3wRqyxqNEUH5UBO5ifXw6HcUcFvCGQ" TargetMode="External"/><Relationship Id="rId328" Type="http://schemas.openxmlformats.org/officeDocument/2006/relationships/hyperlink" Target="https://drive.google.com/open?id=1hc4cKN7jgTch2WiRPekMvGj7cm9Fnh7v" TargetMode="External"/><Relationship Id="rId349" Type="http://schemas.openxmlformats.org/officeDocument/2006/relationships/hyperlink" Target="https://drive.google.com/open?id=1CAjCSrSKDXIWFBSdcNSda_ZLUYaoWtcg" TargetMode="External"/><Relationship Id="rId88" Type="http://schemas.openxmlformats.org/officeDocument/2006/relationships/hyperlink" Target="https://drive.google.com/open?id=1QLdsX_71ztMXMwqXfDv-SvajM5Q_LgbY" TargetMode="External"/><Relationship Id="rId111" Type="http://schemas.openxmlformats.org/officeDocument/2006/relationships/hyperlink" Target="https://drive.google.com/open?id=1D1jQFhKDcMpqC4AmF0QMTg8KPthEiWyQ" TargetMode="External"/><Relationship Id="rId132" Type="http://schemas.openxmlformats.org/officeDocument/2006/relationships/hyperlink" Target="https://drive.google.com/open?id=1Xee4IBnKRaUvD4K0rTXO2rVMbS_BYmXT" TargetMode="External"/><Relationship Id="rId153" Type="http://schemas.openxmlformats.org/officeDocument/2006/relationships/hyperlink" Target="https://drive.google.com/open?id=1rIpPcfs4c59wuTbSVbzifEVeJVlF54bd" TargetMode="External"/><Relationship Id="rId174" Type="http://schemas.openxmlformats.org/officeDocument/2006/relationships/hyperlink" Target="https://drive.google.com/open?id=1dE4CBJGJC3MPW5fZXk_uTBHp3dxEvS9u" TargetMode="External"/><Relationship Id="rId195" Type="http://schemas.openxmlformats.org/officeDocument/2006/relationships/hyperlink" Target="https://drive.google.com/open?id=1Ku6Vdu97OYacvMlhQwF_D0ZmCCfHwonP" TargetMode="External"/><Relationship Id="rId209" Type="http://schemas.openxmlformats.org/officeDocument/2006/relationships/hyperlink" Target="https://drive.google.com/open?id=1sXbcID6aetHNDAe2-pHsAvAEH72teG7L" TargetMode="External"/><Relationship Id="rId360" Type="http://schemas.openxmlformats.org/officeDocument/2006/relationships/hyperlink" Target="https://drive.google.com/open?id=1WMhIUM1_WdOjcD4eFCkWWrn405ASXAAw" TargetMode="External"/><Relationship Id="rId220" Type="http://schemas.openxmlformats.org/officeDocument/2006/relationships/hyperlink" Target="https://drive.google.com/open?id=16b8lugrZLhfRzNpl06x8SuktD5xJ_SkP" TargetMode="External"/><Relationship Id="rId241" Type="http://schemas.openxmlformats.org/officeDocument/2006/relationships/hyperlink" Target="https://drive.google.com/open?id=1vhsIfr8SKpCjL_FcZZpFn246XgZ7jhdp" TargetMode="External"/><Relationship Id="rId15" Type="http://schemas.openxmlformats.org/officeDocument/2006/relationships/hyperlink" Target="https://drive.google.com/open?id=1BipYJlxvFhpEfJABpm3w91Oix-ebBSZ-" TargetMode="External"/><Relationship Id="rId36" Type="http://schemas.openxmlformats.org/officeDocument/2006/relationships/hyperlink" Target="https://drive.google.com/open?id=154YqbLZj9gDGwgJyqAHbbdfOMgQlXzUm" TargetMode="External"/><Relationship Id="rId57" Type="http://schemas.openxmlformats.org/officeDocument/2006/relationships/hyperlink" Target="https://drive.google.com/open?id=1ESpa5QVc-_cllohqEGYEGkWc3D07ZT19" TargetMode="External"/><Relationship Id="rId262" Type="http://schemas.openxmlformats.org/officeDocument/2006/relationships/hyperlink" Target="https://drive.google.com/open?id=17wcF50QP2QrMBfaDc5IOW8rEKoJsv7od" TargetMode="External"/><Relationship Id="rId283" Type="http://schemas.openxmlformats.org/officeDocument/2006/relationships/hyperlink" Target="https://drive.google.com/open?id=1KPbvBetB6wiNU-05LvhPKSyAgxM_0wwt" TargetMode="External"/><Relationship Id="rId318" Type="http://schemas.openxmlformats.org/officeDocument/2006/relationships/hyperlink" Target="https://drive.google.com/open?id=1FdlucvjT88rOWNtxcbHTeUug6iTg3jo7" TargetMode="External"/><Relationship Id="rId339" Type="http://schemas.openxmlformats.org/officeDocument/2006/relationships/hyperlink" Target="https://drive.google.com/open?id=1CvmI6JrPreYSRWiC7KYCfOL54ud66fv7" TargetMode="External"/><Relationship Id="rId78" Type="http://schemas.openxmlformats.org/officeDocument/2006/relationships/hyperlink" Target="https://drive.google.com/open?id=1jvwjujEeHpWOUvE4ECrMKd0sLW_KLvLV" TargetMode="External"/><Relationship Id="rId99" Type="http://schemas.openxmlformats.org/officeDocument/2006/relationships/hyperlink" Target="https://drive.google.com/open?id=1eI6qa39AaVHr6bII1P-CQ75hheHdusmr" TargetMode="External"/><Relationship Id="rId101" Type="http://schemas.openxmlformats.org/officeDocument/2006/relationships/hyperlink" Target="https://drive.google.com/open?id=1mNmkajQvqKjGsU_LyVBFTlpnNBx1vnzx" TargetMode="External"/><Relationship Id="rId122" Type="http://schemas.openxmlformats.org/officeDocument/2006/relationships/hyperlink" Target="https://drive.google.com/open?id=1J5I1dURMUBNn1EHgZOGT7bQQfTsOQzkC" TargetMode="External"/><Relationship Id="rId143" Type="http://schemas.openxmlformats.org/officeDocument/2006/relationships/hyperlink" Target="https://drive.google.com/open?id=1kg5eeF5HZ7hzArsyMvifFBtL0JW4AoT_" TargetMode="External"/><Relationship Id="rId164" Type="http://schemas.openxmlformats.org/officeDocument/2006/relationships/hyperlink" Target="https://drive.google.com/open?id=16f7buRuzse6h1N2rq8eB0XgOWt4PlXcL" TargetMode="External"/><Relationship Id="rId185" Type="http://schemas.openxmlformats.org/officeDocument/2006/relationships/hyperlink" Target="https://drive.google.com/open?id=1mnYwfYiZdBudttaAD6SIz6QC4wZR-pRS" TargetMode="External"/><Relationship Id="rId350" Type="http://schemas.openxmlformats.org/officeDocument/2006/relationships/hyperlink" Target="https://drive.google.com/open?id=1HmX5t3io3zo0BNjNyzdXoJJm5ZhidezF" TargetMode="External"/><Relationship Id="rId9" Type="http://schemas.openxmlformats.org/officeDocument/2006/relationships/hyperlink" Target="https://drive.google.com/open?id=1iTfU-W0yRWJFp9u2815tSX8XAUwhG6d-" TargetMode="External"/><Relationship Id="rId210" Type="http://schemas.openxmlformats.org/officeDocument/2006/relationships/hyperlink" Target="https://drive.google.com/open?id=1NFukGrWGhtbCsBfXLNH4BkNq0zrc90rt" TargetMode="External"/><Relationship Id="rId26" Type="http://schemas.openxmlformats.org/officeDocument/2006/relationships/hyperlink" Target="https://drive.google.com/open?id=1OlJoDRE5j9eVirPhijdRh7dLCPeWssaP" TargetMode="External"/><Relationship Id="rId231" Type="http://schemas.openxmlformats.org/officeDocument/2006/relationships/hyperlink" Target="https://drive.google.com/open?id=1ghZDPtls3suWlsvdZsfZ_euNyxBLDY--" TargetMode="External"/><Relationship Id="rId252" Type="http://schemas.openxmlformats.org/officeDocument/2006/relationships/hyperlink" Target="https://drive.google.com/open?id=1wD9zAVSK1APiu8gGSqtKSm6jpxNVGnS-" TargetMode="External"/><Relationship Id="rId273" Type="http://schemas.openxmlformats.org/officeDocument/2006/relationships/hyperlink" Target="https://drive.google.com/open?id=1wFbGWdwNplCek2VfQNFgUxz0JnrBg5bw" TargetMode="External"/><Relationship Id="rId294" Type="http://schemas.openxmlformats.org/officeDocument/2006/relationships/hyperlink" Target="https://drive.google.com/open?id=1luaa7PJRTnW-9uTZQRB-qNHabWATCmux" TargetMode="External"/><Relationship Id="rId308" Type="http://schemas.openxmlformats.org/officeDocument/2006/relationships/hyperlink" Target="https://drive.google.com/open?id=1zKs9pUGZU-8dKwiL2M4J99oj9swi2c-b" TargetMode="External"/><Relationship Id="rId329" Type="http://schemas.openxmlformats.org/officeDocument/2006/relationships/hyperlink" Target="https://drive.google.com/open?id=1p0hPs2ZMrlvRBRZKGxExEXDYr3nfUArU" TargetMode="External"/><Relationship Id="rId47" Type="http://schemas.openxmlformats.org/officeDocument/2006/relationships/hyperlink" Target="https://drive.google.com/open?id=1N1SAzfl4EubL1kibvyA95YG5HtFzxybd" TargetMode="External"/><Relationship Id="rId68" Type="http://schemas.openxmlformats.org/officeDocument/2006/relationships/hyperlink" Target="https://drive.google.com/open?id=1v5PFNVdrwYNJ3OCQXTUJYDaI4KX_Wsr5" TargetMode="External"/><Relationship Id="rId89" Type="http://schemas.openxmlformats.org/officeDocument/2006/relationships/hyperlink" Target="https://drive.google.com/open?id=1KBuADajmpyb_3TZ1Rf3Imdgr8mucqOVv" TargetMode="External"/><Relationship Id="rId112" Type="http://schemas.openxmlformats.org/officeDocument/2006/relationships/hyperlink" Target="https://drive.google.com/open?id=13PR5kwLqAamzMzpLv6e_NaBBp4UXNRRC" TargetMode="External"/><Relationship Id="rId133" Type="http://schemas.openxmlformats.org/officeDocument/2006/relationships/hyperlink" Target="https://drive.google.com/open?id=1wwLiXbFZkAY-VP7s6z9E9GOlknDk5GxS" TargetMode="External"/><Relationship Id="rId154" Type="http://schemas.openxmlformats.org/officeDocument/2006/relationships/hyperlink" Target="https://drive.google.com/open?id=1Ikaz7WU-GlOrkDFDi11pBka_YcsCK2LA" TargetMode="External"/><Relationship Id="rId175" Type="http://schemas.openxmlformats.org/officeDocument/2006/relationships/hyperlink" Target="https://drive.google.com/open?id=1sBdOuLcr7LJknZdOzyuB6w90w4nGlbKj" TargetMode="External"/><Relationship Id="rId340" Type="http://schemas.openxmlformats.org/officeDocument/2006/relationships/hyperlink" Target="https://drive.google.com/open?id=1_Yh2aLQFHwa5KIqyN-4WXGERVXunqIt5" TargetMode="External"/><Relationship Id="rId196" Type="http://schemas.openxmlformats.org/officeDocument/2006/relationships/hyperlink" Target="https://drive.google.com/open?id=18gLzH-dsMzElK9lbbjq_QWpzY8qx53sV" TargetMode="External"/><Relationship Id="rId200" Type="http://schemas.openxmlformats.org/officeDocument/2006/relationships/hyperlink" Target="https://drive.google.com/open?id=1efP1oyDoPAZE5v8DaRc4mHzsgtsYMYRQ" TargetMode="External"/><Relationship Id="rId16" Type="http://schemas.openxmlformats.org/officeDocument/2006/relationships/hyperlink" Target="https://drive.google.com/open?id=1r6yODMCBvJZr2yHVkP7Vz9ryTR84681v" TargetMode="External"/><Relationship Id="rId221" Type="http://schemas.openxmlformats.org/officeDocument/2006/relationships/hyperlink" Target="https://drive.google.com/open?id=1_O-qYHi-i6c5Z05jBgqxDEGoUYADIj5j" TargetMode="External"/><Relationship Id="rId242" Type="http://schemas.openxmlformats.org/officeDocument/2006/relationships/hyperlink" Target="https://drive.google.com/open?id=1o-xzqFK8sS1rqGFeM7zHu-Ntl6rek12H" TargetMode="External"/><Relationship Id="rId263" Type="http://schemas.openxmlformats.org/officeDocument/2006/relationships/hyperlink" Target="https://drive.google.com/open?id=1j1ZSiNnLjKfGliu4S_tuLmTBTylV5FGy" TargetMode="External"/><Relationship Id="rId284" Type="http://schemas.openxmlformats.org/officeDocument/2006/relationships/hyperlink" Target="https://drive.google.com/open?id=1dV69BDLTGXrioEVxhOJKheeH_6ur2U4S" TargetMode="External"/><Relationship Id="rId319" Type="http://schemas.openxmlformats.org/officeDocument/2006/relationships/hyperlink" Target="https://drive.google.com/open?id=1nNKtz6ze3ruXgD1JOLBBFpkvoBQUo7W0" TargetMode="External"/><Relationship Id="rId37" Type="http://schemas.openxmlformats.org/officeDocument/2006/relationships/hyperlink" Target="https://drive.google.com/open?id=1cMurkwHi8ZuXqjF8XDmMLQ6-JcNoNdqp" TargetMode="External"/><Relationship Id="rId58" Type="http://schemas.openxmlformats.org/officeDocument/2006/relationships/hyperlink" Target="https://drive.google.com/open?id=1YNpknbc2c0-Gz5Q_hbuG42eZwBfVvorD" TargetMode="External"/><Relationship Id="rId79" Type="http://schemas.openxmlformats.org/officeDocument/2006/relationships/hyperlink" Target="https://drive.google.com/open?id=1mWkg90qB8CSpHtdFV1uTBbezre2lmHXL" TargetMode="External"/><Relationship Id="rId102" Type="http://schemas.openxmlformats.org/officeDocument/2006/relationships/hyperlink" Target="https://drive.google.com/open?id=1UxbJdRkO1xmNguZ5af_vpNm_XO_muUuJ" TargetMode="External"/><Relationship Id="rId123" Type="http://schemas.openxmlformats.org/officeDocument/2006/relationships/hyperlink" Target="https://drive.google.com/open?id=185ykWYHvy952tEvGKVRczNBE2cm3Llry" TargetMode="External"/><Relationship Id="rId144" Type="http://schemas.openxmlformats.org/officeDocument/2006/relationships/hyperlink" Target="https://drive.google.com/open?id=1mjLEAsa9YGAvCDbL06ITgiKsFX_hfXSx" TargetMode="External"/><Relationship Id="rId330" Type="http://schemas.openxmlformats.org/officeDocument/2006/relationships/hyperlink" Target="https://drive.google.com/open?id=1A_Ns-5-B9K5ye61IE9e8hmUQijmLDiBM" TargetMode="External"/><Relationship Id="rId90" Type="http://schemas.openxmlformats.org/officeDocument/2006/relationships/hyperlink" Target="https://drive.google.com/open?id=13KWCtscb5l3xda3y_ycEnXLaG-MVneHN" TargetMode="External"/><Relationship Id="rId165" Type="http://schemas.openxmlformats.org/officeDocument/2006/relationships/hyperlink" Target="https://drive.google.com/open?id=1x64YUyz3pWbsBykBu_NlAJBdDUzvOUPo" TargetMode="External"/><Relationship Id="rId186" Type="http://schemas.openxmlformats.org/officeDocument/2006/relationships/hyperlink" Target="https://drive.google.com/open?id=1zHWKYx8TK80m9b3UV_huomU7c-7RgTnj" TargetMode="External"/><Relationship Id="rId351" Type="http://schemas.openxmlformats.org/officeDocument/2006/relationships/hyperlink" Target="https://drive.google.com/open?id=1sR6KeNj4623j3VPoufR-3HiNBArzOJWp" TargetMode="External"/><Relationship Id="rId211" Type="http://schemas.openxmlformats.org/officeDocument/2006/relationships/hyperlink" Target="https://drive.google.com/open?id=19V0dHCnIKCR_v7sZv73k54sC88Etq7xX" TargetMode="External"/><Relationship Id="rId232" Type="http://schemas.openxmlformats.org/officeDocument/2006/relationships/hyperlink" Target="https://drive.google.com/open?id=1xCvkIMIuEpWGbYcfMZiuZlvV9slwqJoi" TargetMode="External"/><Relationship Id="rId253" Type="http://schemas.openxmlformats.org/officeDocument/2006/relationships/hyperlink" Target="https://drive.google.com/open?id=1P2767IKI-VzbsErbTi-H2V7NMXkIdf-d" TargetMode="External"/><Relationship Id="rId274" Type="http://schemas.openxmlformats.org/officeDocument/2006/relationships/hyperlink" Target="https://drive.google.com/open?id=1Z64f4LXv7TnYJeSb0wlboHTpweuAH58x" TargetMode="External"/><Relationship Id="rId295" Type="http://schemas.openxmlformats.org/officeDocument/2006/relationships/hyperlink" Target="https://drive.google.com/open?id=1cov_a6Ayv1BPT1KYKACTJbO-DCS-qDbE" TargetMode="External"/><Relationship Id="rId309" Type="http://schemas.openxmlformats.org/officeDocument/2006/relationships/hyperlink" Target="https://drive.google.com/open?id=1DVKESmsj8iiO6U4wk0_3gAxnaJ4IOi2J" TargetMode="External"/><Relationship Id="rId27" Type="http://schemas.openxmlformats.org/officeDocument/2006/relationships/hyperlink" Target="https://drive.google.com/open?id=1szaWPyNlxzBWtZubsgZDkrKwEek4JOu4" TargetMode="External"/><Relationship Id="rId48" Type="http://schemas.openxmlformats.org/officeDocument/2006/relationships/hyperlink" Target="https://drive.google.com/open?id=1myHfrUwMk_XebyqmEGG6yRpOvuhslnJw" TargetMode="External"/><Relationship Id="rId69" Type="http://schemas.openxmlformats.org/officeDocument/2006/relationships/hyperlink" Target="https://drive.google.com/open?id=1Jx7c-xy3yrB-tNW1KW48PT6Igv05XRcc" TargetMode="External"/><Relationship Id="rId113" Type="http://schemas.openxmlformats.org/officeDocument/2006/relationships/hyperlink" Target="https://drive.google.com/open?id=1khi2RE_ZlkjvLnYZ3bF430QeVtU_9Zs2" TargetMode="External"/><Relationship Id="rId134" Type="http://schemas.openxmlformats.org/officeDocument/2006/relationships/hyperlink" Target="https://drive.google.com/open?id=1VgxMOMzUsYGDnAO5dcohtAFQyPgPHaXd" TargetMode="External"/><Relationship Id="rId320" Type="http://schemas.openxmlformats.org/officeDocument/2006/relationships/hyperlink" Target="https://drive.google.com/open?id=1F6M_EBBhB2Y3QGPHiUVNtRHlyLcSmfFJ" TargetMode="External"/><Relationship Id="rId80" Type="http://schemas.openxmlformats.org/officeDocument/2006/relationships/hyperlink" Target="https://drive.google.com/open?id=1yJhjT-Hm3ATPUI0yW_8sw3FRFAbifM0q" TargetMode="External"/><Relationship Id="rId155" Type="http://schemas.openxmlformats.org/officeDocument/2006/relationships/hyperlink" Target="https://drive.google.com/open?id=1pkOZv-Yy3pngzTcul_6hZfidEuYuq7Al" TargetMode="External"/><Relationship Id="rId176" Type="http://schemas.openxmlformats.org/officeDocument/2006/relationships/hyperlink" Target="https://drive.google.com/open?id=1z2EfbR3vXj_TxwcUkxd2VBzFpXXpG0sC" TargetMode="External"/><Relationship Id="rId197" Type="http://schemas.openxmlformats.org/officeDocument/2006/relationships/hyperlink" Target="https://drive.google.com/open?id=1Ns7TeXFEr79C2EFLoBTMxsKf_hCXv-Td" TargetMode="External"/><Relationship Id="rId341" Type="http://schemas.openxmlformats.org/officeDocument/2006/relationships/hyperlink" Target="https://drive.google.com/open?id=1w7csIaAIGCOeVUXe4qV6rUEt_o5g5T9d" TargetMode="External"/><Relationship Id="rId201" Type="http://schemas.openxmlformats.org/officeDocument/2006/relationships/hyperlink" Target="https://drive.google.com/open?id=1nS_6PTMyJPq72rS8Hperz-REC6cihavM" TargetMode="External"/><Relationship Id="rId222" Type="http://schemas.openxmlformats.org/officeDocument/2006/relationships/hyperlink" Target="https://drive.google.com/open?id=17fSzRayoOndY98CmxB_xHSabToM6bYkc" TargetMode="External"/><Relationship Id="rId243" Type="http://schemas.openxmlformats.org/officeDocument/2006/relationships/hyperlink" Target="https://drive.google.com/open?id=1dJWYXnZmdX-h-s3OaXaSrcGDCl-rQwi_" TargetMode="External"/><Relationship Id="rId264" Type="http://schemas.openxmlformats.org/officeDocument/2006/relationships/hyperlink" Target="https://drive.google.com/open?id=1C7mNXnrJ2nYKaOuXE_ASOnzjxPW0LyQH" TargetMode="External"/><Relationship Id="rId285" Type="http://schemas.openxmlformats.org/officeDocument/2006/relationships/hyperlink" Target="https://drive.google.com/open?id=1Ir0uC_WyliOTaptFra00N6LG0i3bHTPn" TargetMode="External"/><Relationship Id="rId17" Type="http://schemas.openxmlformats.org/officeDocument/2006/relationships/hyperlink" Target="https://drive.google.com/open?id=1vkH6pKPHn2YjOg9KUpRjHPLtWx65Xjug" TargetMode="External"/><Relationship Id="rId38" Type="http://schemas.openxmlformats.org/officeDocument/2006/relationships/hyperlink" Target="https://drive.google.com/open?id=1iR3fPE34rlgjsBJaCWZUCIFafUdqQMy2" TargetMode="External"/><Relationship Id="rId59" Type="http://schemas.openxmlformats.org/officeDocument/2006/relationships/hyperlink" Target="https://drive.google.com/open?id=1c6zAe46JGA-E_Sd7OfgZATwEIaGIuSXt" TargetMode="External"/><Relationship Id="rId103" Type="http://schemas.openxmlformats.org/officeDocument/2006/relationships/hyperlink" Target="https://drive.google.com/open?id=1woo42hCr3MygT86WwNDdVVQnZGE1ox0R" TargetMode="External"/><Relationship Id="rId124" Type="http://schemas.openxmlformats.org/officeDocument/2006/relationships/hyperlink" Target="https://drive.google.com/open?id=16snTlsJZWCDwc_RuaVGTxu0KRFvM47Eu" TargetMode="External"/><Relationship Id="rId310" Type="http://schemas.openxmlformats.org/officeDocument/2006/relationships/hyperlink" Target="https://drive.google.com/open?id=1hs9gYMU2k_YDvpsRCvJTh9T1uoNLQAjs" TargetMode="External"/><Relationship Id="rId70" Type="http://schemas.openxmlformats.org/officeDocument/2006/relationships/hyperlink" Target="https://drive.google.com/open?id=1lApoK8jNaXREuPJlYkZWGm6q9Ng0pNg9" TargetMode="External"/><Relationship Id="rId91" Type="http://schemas.openxmlformats.org/officeDocument/2006/relationships/hyperlink" Target="https://drive.google.com/open?id=1YlyD1zyumBI-e5vHruNvz6K7wfNuAon6" TargetMode="External"/><Relationship Id="rId145" Type="http://schemas.openxmlformats.org/officeDocument/2006/relationships/hyperlink" Target="https://drive.google.com/open?id=1YL8uIa8z91dxBBloOV7dQJT_YL5hNaka" TargetMode="External"/><Relationship Id="rId166" Type="http://schemas.openxmlformats.org/officeDocument/2006/relationships/hyperlink" Target="https://drive.google.com/open?id=1Q1fvJkOe72biUjHmLSRnZgilN8yvlAUK" TargetMode="External"/><Relationship Id="rId187" Type="http://schemas.openxmlformats.org/officeDocument/2006/relationships/hyperlink" Target="https://drive.google.com/open?id=1xqjHkzSdNG8rme3_2yj1DaT0PzGQgPFP" TargetMode="External"/><Relationship Id="rId331" Type="http://schemas.openxmlformats.org/officeDocument/2006/relationships/hyperlink" Target="https://drive.google.com/open?id=17Yawe34AWqI5Vk1shlAvVtgkqEWNG-vQ" TargetMode="External"/><Relationship Id="rId352" Type="http://schemas.openxmlformats.org/officeDocument/2006/relationships/hyperlink" Target="https://drive.google.com/open?id=17r462lgI_lxXHyENACs3WjZ2lMbR0qMC" TargetMode="External"/><Relationship Id="rId1" Type="http://schemas.openxmlformats.org/officeDocument/2006/relationships/hyperlink" Target="https://drive.google.com/open?id=1am5f3igdtcjSUlGL1lLesBIK5wLGDFOA" TargetMode="External"/><Relationship Id="rId212" Type="http://schemas.openxmlformats.org/officeDocument/2006/relationships/hyperlink" Target="https://drive.google.com/open?id=1TXrWEhXlH1dBjo9ykPUCxCtvScRl7ke_" TargetMode="External"/><Relationship Id="rId233" Type="http://schemas.openxmlformats.org/officeDocument/2006/relationships/hyperlink" Target="https://drive.google.com/open?id=1vX4UQFK9zW2RDeTPdLnAXYijo-PmXi1h" TargetMode="External"/><Relationship Id="rId254" Type="http://schemas.openxmlformats.org/officeDocument/2006/relationships/hyperlink" Target="https://drive.google.com/open?id=1y5DGB-2SN600G6HhFD82fl4dh5ftVoxA" TargetMode="External"/><Relationship Id="rId28" Type="http://schemas.openxmlformats.org/officeDocument/2006/relationships/hyperlink" Target="https://drive.google.com/open?id=1XzSsJRbv4bcd4cplm1yv4BLpzJcm1urj" TargetMode="External"/><Relationship Id="rId49" Type="http://schemas.openxmlformats.org/officeDocument/2006/relationships/hyperlink" Target="https://drive.google.com/open?id=1G2R4RM4c1pU-Wibx7BEsKvczn5N3m1jz" TargetMode="External"/><Relationship Id="rId114" Type="http://schemas.openxmlformats.org/officeDocument/2006/relationships/hyperlink" Target="https://drive.google.com/open?id=1WSL2MzUi_XDUp_LmOw5h1vs7sKGp9QRg" TargetMode="External"/><Relationship Id="rId275" Type="http://schemas.openxmlformats.org/officeDocument/2006/relationships/hyperlink" Target="https://drive.google.com/open?id=1jKahi0tDllI1agFgno1VGXiClemvGKN3" TargetMode="External"/><Relationship Id="rId296" Type="http://schemas.openxmlformats.org/officeDocument/2006/relationships/hyperlink" Target="https://drive.google.com/open?id=13_0qLNqflnl_WENDLu6nTjT9Hz5a5PIw" TargetMode="External"/><Relationship Id="rId300" Type="http://schemas.openxmlformats.org/officeDocument/2006/relationships/hyperlink" Target="https://drive.google.com/open?id=1kPbgB261HCfoJUKcBlrlPN4Jk3Tv7bNM" TargetMode="External"/><Relationship Id="rId60" Type="http://schemas.openxmlformats.org/officeDocument/2006/relationships/hyperlink" Target="https://drive.google.com/open?id=1RWjeIJBt7OyZ8etQhQf7JZm-Wn44RSMK" TargetMode="External"/><Relationship Id="rId81" Type="http://schemas.openxmlformats.org/officeDocument/2006/relationships/hyperlink" Target="https://drive.google.com/open?id=1fdRXb4AF_4ctTcLzU8SY4ExmXZzCHLcb" TargetMode="External"/><Relationship Id="rId135" Type="http://schemas.openxmlformats.org/officeDocument/2006/relationships/hyperlink" Target="https://drive.google.com/open?id=1J9k6K-KnxwOLWGxbS4LbE3Jq7FgpmwLS" TargetMode="External"/><Relationship Id="rId156" Type="http://schemas.openxmlformats.org/officeDocument/2006/relationships/hyperlink" Target="https://drive.google.com/open?id=1Bv_JSa1sR4VSmeqewabOH78wqwhoohLS" TargetMode="External"/><Relationship Id="rId177" Type="http://schemas.openxmlformats.org/officeDocument/2006/relationships/hyperlink" Target="https://drive.google.com/open?id=1GjZfsn1DJ7D-_jHxCfGVWw3vDS0hmvDV" TargetMode="External"/><Relationship Id="rId198" Type="http://schemas.openxmlformats.org/officeDocument/2006/relationships/hyperlink" Target="https://drive.google.com/open?id=1VNA5gVvQAL6lDLN_Z0bTYTdn4MJDJrI_" TargetMode="External"/><Relationship Id="rId321" Type="http://schemas.openxmlformats.org/officeDocument/2006/relationships/hyperlink" Target="https://drive.google.com/open?id=1G_4Xq33IHGrK6A21LMwwyBHC3mfIc-Jd" TargetMode="External"/><Relationship Id="rId342" Type="http://schemas.openxmlformats.org/officeDocument/2006/relationships/hyperlink" Target="https://drive.google.com/open?id=1ZZRZeFqc-m0nSLTkNgtifOUpwBRsw937" TargetMode="External"/><Relationship Id="rId202" Type="http://schemas.openxmlformats.org/officeDocument/2006/relationships/hyperlink" Target="https://drive.google.com/open?id=1cf9CGwrxo4Jv8OXnVSSl7vPxuel6CgWk" TargetMode="External"/><Relationship Id="rId223" Type="http://schemas.openxmlformats.org/officeDocument/2006/relationships/hyperlink" Target="https://drive.google.com/open?id=1TKVy3fWUJ-7QUOLvlr6_1eUHQZa3N6fW" TargetMode="External"/><Relationship Id="rId244" Type="http://schemas.openxmlformats.org/officeDocument/2006/relationships/hyperlink" Target="https://drive.google.com/open?id=1EMYHC7kXM06iv-wF1h6W2TWtySWduy6S" TargetMode="External"/><Relationship Id="rId18" Type="http://schemas.openxmlformats.org/officeDocument/2006/relationships/hyperlink" Target="https://drive.google.com/open?id=1ABFAxWExemoNzNHx1L-83Si0YxcSHkAQ" TargetMode="External"/><Relationship Id="rId39" Type="http://schemas.openxmlformats.org/officeDocument/2006/relationships/hyperlink" Target="https://drive.google.com/open?id=1AIWQGmEX55_HCHZU4wgqG-BS-u3jlyk0" TargetMode="External"/><Relationship Id="rId265" Type="http://schemas.openxmlformats.org/officeDocument/2006/relationships/hyperlink" Target="https://drive.google.com/open?id=17H6DEIoGOU6a43lBkZNm21JAn9nV6_dg" TargetMode="External"/><Relationship Id="rId286" Type="http://schemas.openxmlformats.org/officeDocument/2006/relationships/hyperlink" Target="https://drive.google.com/open?id=1gN1_kg8SfWk47gMR247aujrce7m8rtX4" TargetMode="External"/><Relationship Id="rId50" Type="http://schemas.openxmlformats.org/officeDocument/2006/relationships/hyperlink" Target="https://drive.google.com/open?id=1odS_hvCQ4s5w9_sEV3oQe0BA-ZP2S9-X" TargetMode="External"/><Relationship Id="rId104" Type="http://schemas.openxmlformats.org/officeDocument/2006/relationships/hyperlink" Target="https://drive.google.com/open?id=1-JTuwyhX_b-BNYgg60OsX0SLk36CF5J2" TargetMode="External"/><Relationship Id="rId125" Type="http://schemas.openxmlformats.org/officeDocument/2006/relationships/hyperlink" Target="https://drive.google.com/open?id=1KfI9b0g3eZAOjfOQRrimvUG3L61-llqS" TargetMode="External"/><Relationship Id="rId146" Type="http://schemas.openxmlformats.org/officeDocument/2006/relationships/hyperlink" Target="https://drive.google.com/open?id=16UZVtIKHLsZYiMr_RGMkIaWywIb-tQsF" TargetMode="External"/><Relationship Id="rId167" Type="http://schemas.openxmlformats.org/officeDocument/2006/relationships/hyperlink" Target="https://drive.google.com/open?id=1jzjhJnd8UNlqwO3VdN7sYdU_Dk1dPMxf" TargetMode="External"/><Relationship Id="rId188" Type="http://schemas.openxmlformats.org/officeDocument/2006/relationships/hyperlink" Target="https://drive.google.com/open?id=1HvTjeukZKBjdBaB26pqXGzy3k1LIL-WS" TargetMode="External"/><Relationship Id="rId311" Type="http://schemas.openxmlformats.org/officeDocument/2006/relationships/hyperlink" Target="https://drive.google.com/open?id=17xYsTcapX41Wop1CC5e5J5MRTL3pQFIT" TargetMode="External"/><Relationship Id="rId332" Type="http://schemas.openxmlformats.org/officeDocument/2006/relationships/hyperlink" Target="https://drive.google.com/open?id=1fxhL33g6iSGRjVuyXZr8AWL4WFQ7DLkJ" TargetMode="External"/><Relationship Id="rId353" Type="http://schemas.openxmlformats.org/officeDocument/2006/relationships/hyperlink" Target="https://drive.google.com/open?id=1qKVX9A1XlsLG3R_aXw9dikuy6pqva2F8" TargetMode="External"/><Relationship Id="rId71" Type="http://schemas.openxmlformats.org/officeDocument/2006/relationships/hyperlink" Target="https://drive.google.com/open?id=1Li27QyO16Iu8qSMbRSlLH_cLaw0rFo2G" TargetMode="External"/><Relationship Id="rId92" Type="http://schemas.openxmlformats.org/officeDocument/2006/relationships/hyperlink" Target="https://drive.google.com/open?id=1tGJqhCmviiu7lwjeGbRwxIRQYEmI4nIY" TargetMode="External"/><Relationship Id="rId213" Type="http://schemas.openxmlformats.org/officeDocument/2006/relationships/hyperlink" Target="https://drive.google.com/open?id=1ECkS5e5x4qAMM9rZPTUjd1c0Qgl4SDD1" TargetMode="External"/><Relationship Id="rId234" Type="http://schemas.openxmlformats.org/officeDocument/2006/relationships/hyperlink" Target="https://drive.google.com/open?id=1vZFzvBtVhB25lFIR00lxPKgKDzVZDSyh" TargetMode="External"/><Relationship Id="rId2" Type="http://schemas.openxmlformats.org/officeDocument/2006/relationships/hyperlink" Target="https://drive.google.com/open?id=14q82r0w9XaRh1zkmtZxkhuF2jWx8vlto" TargetMode="External"/><Relationship Id="rId29" Type="http://schemas.openxmlformats.org/officeDocument/2006/relationships/hyperlink" Target="https://drive.google.com/open?id=1UEeSDLngzjgeblR7QWiK_rcceivfMa_0" TargetMode="External"/><Relationship Id="rId255" Type="http://schemas.openxmlformats.org/officeDocument/2006/relationships/hyperlink" Target="https://drive.google.com/open?id=1utVjdkYSu90-15K14g3AbHJ-krA2rEDz" TargetMode="External"/><Relationship Id="rId276" Type="http://schemas.openxmlformats.org/officeDocument/2006/relationships/hyperlink" Target="https://drive.google.com/open?id=1P8kKRAtZi21GS_PzerMFu7uqiL6vnqKE" TargetMode="External"/><Relationship Id="rId297" Type="http://schemas.openxmlformats.org/officeDocument/2006/relationships/hyperlink" Target="https://drive.google.com/open?id=1lSzA-KMVZohGgFy9m2w6erKDlZKG2CQo" TargetMode="External"/><Relationship Id="rId40" Type="http://schemas.openxmlformats.org/officeDocument/2006/relationships/hyperlink" Target="https://drive.google.com/open?id=1VnMr_zX4UW02_pBirmGrE577E_Hzt-4Z" TargetMode="External"/><Relationship Id="rId115" Type="http://schemas.openxmlformats.org/officeDocument/2006/relationships/hyperlink" Target="https://drive.google.com/open?id=1ZdQ2F1CEIC949eMxv7EzA4ku9ccMNptV" TargetMode="External"/><Relationship Id="rId136" Type="http://schemas.openxmlformats.org/officeDocument/2006/relationships/hyperlink" Target="https://drive.google.com/open?id=1Ucy8NZegdf4_N5zP9IrD3_FqqzsQPEiY" TargetMode="External"/><Relationship Id="rId157" Type="http://schemas.openxmlformats.org/officeDocument/2006/relationships/hyperlink" Target="https://drive.google.com/open?id=1qVRJ5eFdQJv5aT4thGe172vSy8_OsVx3" TargetMode="External"/><Relationship Id="rId178" Type="http://schemas.openxmlformats.org/officeDocument/2006/relationships/hyperlink" Target="https://drive.google.com/open?id=1hjf7msXaEJqYWjcXSUp04PvrmqHWXQhv" TargetMode="External"/><Relationship Id="rId301" Type="http://schemas.openxmlformats.org/officeDocument/2006/relationships/hyperlink" Target="https://drive.google.com/open?id=1UgitYralTiuHdMnYQEOOI2GVE2xYPTZg" TargetMode="External"/><Relationship Id="rId322" Type="http://schemas.openxmlformats.org/officeDocument/2006/relationships/hyperlink" Target="https://drive.google.com/open?id=1bikB-i1JGBm-CSrmDIGyJvyTTgKbqJft" TargetMode="External"/><Relationship Id="rId343" Type="http://schemas.openxmlformats.org/officeDocument/2006/relationships/hyperlink" Target="https://drive.google.com/open?id=1t8TnVjrpnDMm3JOAp4Eb5mjaZgutGFx1" TargetMode="External"/><Relationship Id="rId61" Type="http://schemas.openxmlformats.org/officeDocument/2006/relationships/hyperlink" Target="https://drive.google.com/open?id=11YE6dJNQ69RUfkLRpBK5h2O98BXNhO50" TargetMode="External"/><Relationship Id="rId82" Type="http://schemas.openxmlformats.org/officeDocument/2006/relationships/hyperlink" Target="https://drive.google.com/open?id=1cyL4Qxq9Rreo9Kmi5FC9OrG0MgnL98f4" TargetMode="External"/><Relationship Id="rId199" Type="http://schemas.openxmlformats.org/officeDocument/2006/relationships/hyperlink" Target="https://drive.google.com/open?id=1e36O1qS4lp9r1bqCqyQLdxIYrp8NpiwN" TargetMode="External"/><Relationship Id="rId203" Type="http://schemas.openxmlformats.org/officeDocument/2006/relationships/hyperlink" Target="https://drive.google.com/open?id=1H3IbgTW3nX9yKvNYYQmrfHqz-6RspmQl" TargetMode="External"/><Relationship Id="rId19" Type="http://schemas.openxmlformats.org/officeDocument/2006/relationships/hyperlink" Target="https://drive.google.com/open?id=1gD3Pazq90IEqfgt5IOx6SQnzjHMaOjYl" TargetMode="External"/><Relationship Id="rId224" Type="http://schemas.openxmlformats.org/officeDocument/2006/relationships/hyperlink" Target="https://drive.google.com/open?id=1RzngXgVRWdhWwhq0EI4YWKKyOK-1ir5a" TargetMode="External"/><Relationship Id="rId245" Type="http://schemas.openxmlformats.org/officeDocument/2006/relationships/hyperlink" Target="https://drive.google.com/open?id=1wCMUd0sBj2nYxePXpfjNJG7MDFHbPbe2" TargetMode="External"/><Relationship Id="rId266" Type="http://schemas.openxmlformats.org/officeDocument/2006/relationships/hyperlink" Target="https://drive.google.com/open?id=1WVz9wZF1J0bgi985m0tooM2PD5J1rXMQ" TargetMode="External"/><Relationship Id="rId287" Type="http://schemas.openxmlformats.org/officeDocument/2006/relationships/hyperlink" Target="https://drive.google.com/open?id=1W34uVcrk7LeKOhQYMBnsvmFNxlIB3vYF" TargetMode="External"/><Relationship Id="rId30" Type="http://schemas.openxmlformats.org/officeDocument/2006/relationships/hyperlink" Target="https://drive.google.com/open?id=1zew79oRBeQuEndccSEanNeAtkKj719C7" TargetMode="External"/><Relationship Id="rId105" Type="http://schemas.openxmlformats.org/officeDocument/2006/relationships/hyperlink" Target="https://drive.google.com/open?id=10_0KkuxYhqoravkrj4ZV6q4WHJIKvf6p" TargetMode="External"/><Relationship Id="rId126" Type="http://schemas.openxmlformats.org/officeDocument/2006/relationships/hyperlink" Target="https://drive.google.com/open?id=1gdcz7Lxp-lFl5pHF8NW38YHYfA2VEZp2" TargetMode="External"/><Relationship Id="rId147" Type="http://schemas.openxmlformats.org/officeDocument/2006/relationships/hyperlink" Target="https://drive.google.com/open?id=100tHCL68xakdIWR-87sqLMRrW0bR9hV9" TargetMode="External"/><Relationship Id="rId168" Type="http://schemas.openxmlformats.org/officeDocument/2006/relationships/hyperlink" Target="https://drive.google.com/open?id=1_Kq2eQyM1PVPVzJlMjlW6GYklnW3t_rw" TargetMode="External"/><Relationship Id="rId312" Type="http://schemas.openxmlformats.org/officeDocument/2006/relationships/hyperlink" Target="https://drive.google.com/open?id=1DNLMe-ZQuk4NUIgDqtScKCE6u9qP7gPvyRX213wQMaQ" TargetMode="External"/><Relationship Id="rId333" Type="http://schemas.openxmlformats.org/officeDocument/2006/relationships/hyperlink" Target="https://drive.google.com/open?id=1AayDpxXyDX-FiEZ8nQwSIkP1eCW6JwGt" TargetMode="External"/><Relationship Id="rId354" Type="http://schemas.openxmlformats.org/officeDocument/2006/relationships/hyperlink" Target="https://drive.google.com/open?id=1VdghJZqJ2MeZ1ygL5JNsUATyGQdTcHGg" TargetMode="External"/><Relationship Id="rId51" Type="http://schemas.openxmlformats.org/officeDocument/2006/relationships/hyperlink" Target="https://drive.google.com/open?id=1EK5PvR5ZQVxmWCBnjdMrDlSo_gIXHgQr" TargetMode="External"/><Relationship Id="rId72" Type="http://schemas.openxmlformats.org/officeDocument/2006/relationships/hyperlink" Target="https://drive.google.com/open?id=13WlPp2DAVSAfPyk_jsNIP904vDdYjiPT" TargetMode="External"/><Relationship Id="rId93" Type="http://schemas.openxmlformats.org/officeDocument/2006/relationships/hyperlink" Target="https://drive.google.com/open?id=1cVHtpwXpMEFOMq_swBvEp9T09HC02PSc" TargetMode="External"/><Relationship Id="rId189" Type="http://schemas.openxmlformats.org/officeDocument/2006/relationships/hyperlink" Target="https://drive.google.com/open?id=1_nEW1EPzW0ikFSxcjO4qBwzh8JHm7_q9" TargetMode="External"/><Relationship Id="rId3" Type="http://schemas.openxmlformats.org/officeDocument/2006/relationships/hyperlink" Target="https://drive.google.com/open?id=1DWDf--FfzKXf1NU-AcVhZMMrDf0Qi2al" TargetMode="External"/><Relationship Id="rId214" Type="http://schemas.openxmlformats.org/officeDocument/2006/relationships/hyperlink" Target="https://drive.google.com/open?id=1vAjRTIf6i_t8yakwyLCkvnZUklY5E4GU" TargetMode="External"/><Relationship Id="rId235" Type="http://schemas.openxmlformats.org/officeDocument/2006/relationships/hyperlink" Target="https://drive.google.com/open?id=1WaCsf-rkZL36RsbseJxTk9s9QW1rqUzR" TargetMode="External"/><Relationship Id="rId256" Type="http://schemas.openxmlformats.org/officeDocument/2006/relationships/hyperlink" Target="https://drive.google.com/open?id=1TNkyOO74FD6t92bnzugUnfQtbIDmepoq" TargetMode="External"/><Relationship Id="rId277" Type="http://schemas.openxmlformats.org/officeDocument/2006/relationships/hyperlink" Target="https://drive.google.com/open?id=1a_8Hb9SpkojBispSp9617XKSSjdqieBG" TargetMode="External"/><Relationship Id="rId298" Type="http://schemas.openxmlformats.org/officeDocument/2006/relationships/hyperlink" Target="https://drive.google.com/open?id=10horRg0oe-Q8b70iP4GXuolMgqbWeFPq" TargetMode="External"/><Relationship Id="rId116" Type="http://schemas.openxmlformats.org/officeDocument/2006/relationships/hyperlink" Target="https://drive.google.com/open?id=1tpLbE8coL8M72n5nRMvsqcYm8T3UUD3W" TargetMode="External"/><Relationship Id="rId137" Type="http://schemas.openxmlformats.org/officeDocument/2006/relationships/hyperlink" Target="https://drive.google.com/open?id=19guMZlcUhfl8xPILyjjbJANop9iq725j" TargetMode="External"/><Relationship Id="rId158" Type="http://schemas.openxmlformats.org/officeDocument/2006/relationships/hyperlink" Target="https://drive.google.com/open?id=1golEQb-IIS9X5zaw0O9UtCe9bsuQoQrx" TargetMode="External"/><Relationship Id="rId302" Type="http://schemas.openxmlformats.org/officeDocument/2006/relationships/hyperlink" Target="https://drive.google.com/open?id=1mY9vbuSO8AvYCGkoe-IzVVuypp6jpKD8" TargetMode="External"/><Relationship Id="rId323" Type="http://schemas.openxmlformats.org/officeDocument/2006/relationships/hyperlink" Target="https://drive.google.com/open?id=1ttNpl1akiFzEnI2GnWu3vls8BjmMML1b" TargetMode="External"/><Relationship Id="rId344" Type="http://schemas.openxmlformats.org/officeDocument/2006/relationships/hyperlink" Target="https://drive.google.com/open?id=1oZfWZeL-IdBkpOLKmvd0RDYbg9Y2FBCL" TargetMode="External"/><Relationship Id="rId20" Type="http://schemas.openxmlformats.org/officeDocument/2006/relationships/hyperlink" Target="https://drive.google.com/open?id=1RdR3QYW4fSwYhNhcGcrMo1BoROMhSlo-" TargetMode="External"/><Relationship Id="rId41" Type="http://schemas.openxmlformats.org/officeDocument/2006/relationships/hyperlink" Target="https://drive.google.com/open?id=1FAfLQRTZYlKMt4a63DCXXQyhx8fBdzVZ" TargetMode="External"/><Relationship Id="rId62" Type="http://schemas.openxmlformats.org/officeDocument/2006/relationships/hyperlink" Target="https://drive.google.com/open?id=1HoCi1Og_N4CTs0qevwsYSLyTAj2D-lG7" TargetMode="External"/><Relationship Id="rId83" Type="http://schemas.openxmlformats.org/officeDocument/2006/relationships/hyperlink" Target="https://drive.google.com/open?id=1ToEyDoxjMf1yelZuHl9yaBKZND0Aj-II" TargetMode="External"/><Relationship Id="rId179" Type="http://schemas.openxmlformats.org/officeDocument/2006/relationships/hyperlink" Target="https://drive.google.com/open?id=1bvnUrAt1we3C2a36mzo9NV7zREVe7elJ" TargetMode="External"/><Relationship Id="rId190" Type="http://schemas.openxmlformats.org/officeDocument/2006/relationships/hyperlink" Target="https://drive.google.com/open?id=14Xa5bJxyNYKTsDSqc7cunO-ajgIADA_p" TargetMode="External"/><Relationship Id="rId204" Type="http://schemas.openxmlformats.org/officeDocument/2006/relationships/hyperlink" Target="https://drive.google.com/open?id=1POFTG12Uu5Roig49tKw6Ug878TyEZg0n" TargetMode="External"/><Relationship Id="rId225" Type="http://schemas.openxmlformats.org/officeDocument/2006/relationships/hyperlink" Target="https://drive.google.com/open?id=1ppg0Okh0XlgqDlJ4ApNVpx5PzP-qZq6I" TargetMode="External"/><Relationship Id="rId246" Type="http://schemas.openxmlformats.org/officeDocument/2006/relationships/hyperlink" Target="https://drive.google.com/open?id=1vVUpxipLTtG4v54-IhgrTKYegtGTe60f" TargetMode="External"/><Relationship Id="rId267" Type="http://schemas.openxmlformats.org/officeDocument/2006/relationships/hyperlink" Target="https://drive.google.com/open?id=168iYqIytfHZfOlTDhJEr50owOAzLi21d" TargetMode="External"/><Relationship Id="rId288" Type="http://schemas.openxmlformats.org/officeDocument/2006/relationships/hyperlink" Target="https://drive.google.com/open?id=1uq890oKwDAiWiUOMGvc-0d9Xi43yHv7s" TargetMode="External"/><Relationship Id="rId106" Type="http://schemas.openxmlformats.org/officeDocument/2006/relationships/hyperlink" Target="https://drive.google.com/open?id=1M5Y7lU7HzA-3P0tZhDXc7rt35RTW3kUs" TargetMode="External"/><Relationship Id="rId127" Type="http://schemas.openxmlformats.org/officeDocument/2006/relationships/hyperlink" Target="https://drive.google.com/open?id=1CAHEO2MCi5uiXWhUdIoU6k0RJwxOqRd5" TargetMode="External"/><Relationship Id="rId313" Type="http://schemas.openxmlformats.org/officeDocument/2006/relationships/hyperlink" Target="https://drive.google.com/open?id=14GuTV1V9CXuN1Fv7U-1WFZNlZACcJyKz" TargetMode="External"/><Relationship Id="rId10" Type="http://schemas.openxmlformats.org/officeDocument/2006/relationships/hyperlink" Target="https://drive.google.com/open?id=1y5fH3iQNhRkt5ryf1cC2qLw64EAfsIsT" TargetMode="External"/><Relationship Id="rId31" Type="http://schemas.openxmlformats.org/officeDocument/2006/relationships/hyperlink" Target="https://drive.google.com/open?id=1ozZiG5LAo4ir96A9XJuRaVChZ8K4Ytuv" TargetMode="External"/><Relationship Id="rId52" Type="http://schemas.openxmlformats.org/officeDocument/2006/relationships/hyperlink" Target="https://drive.google.com/open?id=13DoYkbaQgjs3-qCCmjsiSBhhM1NYlf5t" TargetMode="External"/><Relationship Id="rId73" Type="http://schemas.openxmlformats.org/officeDocument/2006/relationships/hyperlink" Target="https://drive.google.com/open?id=1dYhOt6swd-Q6nokmQHYMSOoEpoXQHIRE" TargetMode="External"/><Relationship Id="rId94" Type="http://schemas.openxmlformats.org/officeDocument/2006/relationships/hyperlink" Target="https://drive.google.com/open?id=10UsVz6sCItNwo28btFv7PxTu9H_yS3YM" TargetMode="External"/><Relationship Id="rId148" Type="http://schemas.openxmlformats.org/officeDocument/2006/relationships/hyperlink" Target="https://drive.google.com/open?id=1uXw9hTnKVP_ke2_PxGXgxwcTYaIqEqKI" TargetMode="External"/><Relationship Id="rId169" Type="http://schemas.openxmlformats.org/officeDocument/2006/relationships/hyperlink" Target="https://drive.google.com/open?id=1D82xheP6FoKqmMn03d7amZ8eb4s8NOFD" TargetMode="External"/><Relationship Id="rId334" Type="http://schemas.openxmlformats.org/officeDocument/2006/relationships/hyperlink" Target="https://drive.google.com/open?id=1_5eROFhLlmSSWK-Tq3thHlmDZPa875uX" TargetMode="External"/><Relationship Id="rId355" Type="http://schemas.openxmlformats.org/officeDocument/2006/relationships/hyperlink" Target="https://drive.google.com/open?id=1_VQuxA1wgyUuTpMvmMqNPEHI2jIW2lbN" TargetMode="External"/><Relationship Id="rId4" Type="http://schemas.openxmlformats.org/officeDocument/2006/relationships/hyperlink" Target="https://drive.google.com/open?id=1Gq0L5O4i15tDQVWc4VxPzQi74pr1eRsB" TargetMode="External"/><Relationship Id="rId180" Type="http://schemas.openxmlformats.org/officeDocument/2006/relationships/hyperlink" Target="https://drive.google.com/open?id=1Yujwro41qwvn4Txo2iXK6ANaFa6AB0og" TargetMode="External"/><Relationship Id="rId215" Type="http://schemas.openxmlformats.org/officeDocument/2006/relationships/hyperlink" Target="https://drive.google.com/open?id=1eq3Jz9_yDWlnxwLFVqwBwe3dJmvRAd4D" TargetMode="External"/><Relationship Id="rId236" Type="http://schemas.openxmlformats.org/officeDocument/2006/relationships/hyperlink" Target="https://drive.google.com/open?id=1RAvg_NLnDeXyLlvatrKeMrJB-nedPyRq" TargetMode="External"/><Relationship Id="rId257" Type="http://schemas.openxmlformats.org/officeDocument/2006/relationships/hyperlink" Target="https://drive.google.com/open?id=1EUaQt8E0m23iuqmq4yBYo0nq7qX8Mk2S" TargetMode="External"/><Relationship Id="rId278" Type="http://schemas.openxmlformats.org/officeDocument/2006/relationships/hyperlink" Target="https://drive.google.com/open?id=1KyQNsTNDp0I3BLaOzSRe__DAqe8OUH-F" TargetMode="External"/><Relationship Id="rId303" Type="http://schemas.openxmlformats.org/officeDocument/2006/relationships/hyperlink" Target="https://drive.google.com/open?id=1iwdJRB5rVSE5S4B8yJ614BEasj_681Ln" TargetMode="External"/><Relationship Id="rId42" Type="http://schemas.openxmlformats.org/officeDocument/2006/relationships/hyperlink" Target="https://drive.google.com/open?id=11j3gNU-tEhsYilcsB3ueKScP8OQF-v3v" TargetMode="External"/><Relationship Id="rId84" Type="http://schemas.openxmlformats.org/officeDocument/2006/relationships/hyperlink" Target="https://drive.google.com/open?id=1FSfWm0X25TATTy7iDz0Gu-kFUoRcVRay" TargetMode="External"/><Relationship Id="rId138" Type="http://schemas.openxmlformats.org/officeDocument/2006/relationships/hyperlink" Target="https://drive.google.com/open?id=1tC3XKGvV9XI4NCgRAY8w88H24b6ZM1vD" TargetMode="External"/><Relationship Id="rId345" Type="http://schemas.openxmlformats.org/officeDocument/2006/relationships/hyperlink" Target="https://drive.google.com/open?id=1Eso-cJ1mq849-uLwa1fhdlPPH23gYdeT" TargetMode="External"/><Relationship Id="rId191" Type="http://schemas.openxmlformats.org/officeDocument/2006/relationships/hyperlink" Target="https://drive.google.com/open?id=1AWhWJODDRdjNZ0QW8MyAmmsOSJAU5Q5H" TargetMode="External"/><Relationship Id="rId205" Type="http://schemas.openxmlformats.org/officeDocument/2006/relationships/hyperlink" Target="https://drive.google.com/open?id=1-mDUTmGhdphhek_-IyC_WyongZiuxebX" TargetMode="External"/><Relationship Id="rId247" Type="http://schemas.openxmlformats.org/officeDocument/2006/relationships/hyperlink" Target="https://drive.google.com/open?id=1yry6p44xTx6C5LYS9cmlvhiWLW7vw8nl" TargetMode="External"/><Relationship Id="rId107" Type="http://schemas.openxmlformats.org/officeDocument/2006/relationships/hyperlink" Target="https://drive.google.com/open?id=16l125zkikBgh5Axo9O68WuP6SbeOnG3W" TargetMode="External"/><Relationship Id="rId289" Type="http://schemas.openxmlformats.org/officeDocument/2006/relationships/hyperlink" Target="https://drive.google.com/open?id=1cQzPeeaKP4QL8FUwO15nfUHaa_TpyYHx" TargetMode="External"/><Relationship Id="rId11" Type="http://schemas.openxmlformats.org/officeDocument/2006/relationships/hyperlink" Target="https://drive.google.com/open?id=1log8DuDltDgUc0Iebzaed07ZBmyJt8-q" TargetMode="External"/><Relationship Id="rId53" Type="http://schemas.openxmlformats.org/officeDocument/2006/relationships/hyperlink" Target="https://drive.google.com/open?id=1_EysKEL_s3VQOGpBNCjxULZoqh8QXH47" TargetMode="External"/><Relationship Id="rId149" Type="http://schemas.openxmlformats.org/officeDocument/2006/relationships/hyperlink" Target="https://drive.google.com/open?id=18H1_-OPvQkbuHKPclBITFFYRlst7U7xN" TargetMode="External"/><Relationship Id="rId314" Type="http://schemas.openxmlformats.org/officeDocument/2006/relationships/hyperlink" Target="https://drive.google.com/open?id=1LhveeHEGUf9QHwE9_bKTYKlf82tPBhZs" TargetMode="External"/><Relationship Id="rId356" Type="http://schemas.openxmlformats.org/officeDocument/2006/relationships/hyperlink" Target="https://drive.google.com/open?id=1bTYrPpAO6owL_tCTanjlUrey2ruviIrX" TargetMode="External"/><Relationship Id="rId95" Type="http://schemas.openxmlformats.org/officeDocument/2006/relationships/hyperlink" Target="https://drive.google.com/open?id=1TkzldX77--ESP57nmr0N4HwnUkMPOj21" TargetMode="External"/><Relationship Id="rId160" Type="http://schemas.openxmlformats.org/officeDocument/2006/relationships/hyperlink" Target="https://drive.google.com/open?id=1mT3vwcmYAlqCc0EjCgXiKD5o984WIhXC" TargetMode="External"/><Relationship Id="rId216" Type="http://schemas.openxmlformats.org/officeDocument/2006/relationships/hyperlink" Target="https://drive.google.com/open?id=1J41ZrGUPYPx9-otNc4Ogb5DBz90sN3dU" TargetMode="External"/><Relationship Id="rId258" Type="http://schemas.openxmlformats.org/officeDocument/2006/relationships/hyperlink" Target="https://drive.google.com/open?id=1o-zI0ivPziP5oJsL-GLwJsI0AxBq7-x_" TargetMode="External"/><Relationship Id="rId22" Type="http://schemas.openxmlformats.org/officeDocument/2006/relationships/hyperlink" Target="https://drive.google.com/open?id=1Bw19pAXYRAqh1nBzD8L44iBHeelSadCp" TargetMode="External"/><Relationship Id="rId64" Type="http://schemas.openxmlformats.org/officeDocument/2006/relationships/hyperlink" Target="https://drive.google.com/open?id=19pI7DvWBxTYHSNRU8h_Eke3ZW3tjhABz" TargetMode="External"/><Relationship Id="rId118" Type="http://schemas.openxmlformats.org/officeDocument/2006/relationships/hyperlink" Target="https://drive.google.com/open?id=1fyIhsggqmT2I7rxSluMyr0d_Ezv3X0eI" TargetMode="External"/><Relationship Id="rId325" Type="http://schemas.openxmlformats.org/officeDocument/2006/relationships/hyperlink" Target="https://drive.google.com/open?id=19PJkP6ePTTQXMU1UbG77ezJbZprqWSYU" TargetMode="External"/><Relationship Id="rId171" Type="http://schemas.openxmlformats.org/officeDocument/2006/relationships/hyperlink" Target="https://drive.google.com/open?id=18VQQFND_MoAGlti3RtPHw611bVepKB7_" TargetMode="External"/><Relationship Id="rId227" Type="http://schemas.openxmlformats.org/officeDocument/2006/relationships/hyperlink" Target="https://drive.google.com/open?id=1uhYthS3yjRfcuJkHFlilXQ6zhWWL7Fyv" TargetMode="External"/><Relationship Id="rId269" Type="http://schemas.openxmlformats.org/officeDocument/2006/relationships/hyperlink" Target="https://drive.google.com/open?id=1DtxoKcR6L6fwtXBpy8xcezgJNg5TLC6B" TargetMode="External"/><Relationship Id="rId33" Type="http://schemas.openxmlformats.org/officeDocument/2006/relationships/hyperlink" Target="https://drive.google.com/open?id=17_4ZVKYeoxBJ5JF-jdJHkIh7AnrQRdMs" TargetMode="External"/><Relationship Id="rId129" Type="http://schemas.openxmlformats.org/officeDocument/2006/relationships/hyperlink" Target="https://drive.google.com/open?id=1FwxhmotTzpTl48AO7qJAiW6KauUfEHwm" TargetMode="External"/><Relationship Id="rId280" Type="http://schemas.openxmlformats.org/officeDocument/2006/relationships/hyperlink" Target="https://drive.google.com/open?id=1KARi_Mu6ZN2T_JATVzcad4bdoLZTjleX" TargetMode="External"/><Relationship Id="rId336" Type="http://schemas.openxmlformats.org/officeDocument/2006/relationships/hyperlink" Target="https://drive.google.com/open?id=11DFsO0a3OnN3TLrCA36bSN6naIjcUmCd" TargetMode="External"/><Relationship Id="rId75" Type="http://schemas.openxmlformats.org/officeDocument/2006/relationships/hyperlink" Target="https://drive.google.com/open?id=1PF9kFMAEO4yXpcNBhdzEkhoGu0qTg3-E" TargetMode="External"/><Relationship Id="rId140" Type="http://schemas.openxmlformats.org/officeDocument/2006/relationships/hyperlink" Target="https://drive.google.com/open?id=1W6zAak_aVTNT3b_xPANllJHzcUnA3PXd" TargetMode="External"/><Relationship Id="rId182" Type="http://schemas.openxmlformats.org/officeDocument/2006/relationships/hyperlink" Target="https://drive.google.com/open?id=1I5w7J9vJ5SPlvxRTgZj0xb9QKufHR13K" TargetMode="External"/><Relationship Id="rId6" Type="http://schemas.openxmlformats.org/officeDocument/2006/relationships/hyperlink" Target="https://drive.google.com/open?id=1cRLRDbEthT58lWGl7J2PwctRU7SgWVdr" TargetMode="External"/><Relationship Id="rId238" Type="http://schemas.openxmlformats.org/officeDocument/2006/relationships/hyperlink" Target="https://drive.google.com/open?id=1Yvd81boW5AOHl5jmrLQkyl-LkchKw453" TargetMode="External"/><Relationship Id="rId291" Type="http://schemas.openxmlformats.org/officeDocument/2006/relationships/hyperlink" Target="https://drive.google.com/open?id=1u95jJG3H6igJe-17Towei_ld3hlaPLY7" TargetMode="External"/><Relationship Id="rId305" Type="http://schemas.openxmlformats.org/officeDocument/2006/relationships/hyperlink" Target="https://drive.google.com/open?id=1xHYdlbA3zdHKn3Zm5iuvesSEsXoUu_Z5" TargetMode="External"/><Relationship Id="rId347" Type="http://schemas.openxmlformats.org/officeDocument/2006/relationships/hyperlink" Target="https://drive.google.com/open?id=1Dnxm3GaN4UufdGbJcZadkhBE0LXEz44Z" TargetMode="External"/><Relationship Id="rId44" Type="http://schemas.openxmlformats.org/officeDocument/2006/relationships/hyperlink" Target="https://drive.google.com/open?id=1t55rn0Uv01dDGOQq-ftp-fndhjxh0RxQ" TargetMode="External"/><Relationship Id="rId86" Type="http://schemas.openxmlformats.org/officeDocument/2006/relationships/hyperlink" Target="https://drive.google.com/open?id=17Mrwynx01GTbCi5vEYBTmyZJxaj_ZaRi" TargetMode="External"/><Relationship Id="rId151" Type="http://schemas.openxmlformats.org/officeDocument/2006/relationships/hyperlink" Target="https://drive.google.com/open?id=19pg5HFNqBNUNffeL4Ra9X2UBnGkdt89G" TargetMode="External"/><Relationship Id="rId193" Type="http://schemas.openxmlformats.org/officeDocument/2006/relationships/hyperlink" Target="https://drive.google.com/open?id=1yWpbYEfhqLn5DPkg3DTykY78Zvmd8V2Q" TargetMode="External"/><Relationship Id="rId207" Type="http://schemas.openxmlformats.org/officeDocument/2006/relationships/hyperlink" Target="https://drive.google.com/open?id=1R7AEpizJOWYoDGRVST3gaQDALYKVnm0Z" TargetMode="External"/><Relationship Id="rId249" Type="http://schemas.openxmlformats.org/officeDocument/2006/relationships/hyperlink" Target="https://drive.google.com/open?id=1RaC2Fie4kRlVt-KyADYsdWyFELyx_D29" TargetMode="External"/><Relationship Id="rId13" Type="http://schemas.openxmlformats.org/officeDocument/2006/relationships/hyperlink" Target="https://drive.google.com/open?id=1iHo5Gxb4LiNBP84y86TAUiTucP-3ebbA" TargetMode="External"/><Relationship Id="rId109" Type="http://schemas.openxmlformats.org/officeDocument/2006/relationships/hyperlink" Target="https://drive.google.com/open?id=1rvMNCoDuP_g6LdCVbBosXZVoWkzQWApY" TargetMode="External"/><Relationship Id="rId260" Type="http://schemas.openxmlformats.org/officeDocument/2006/relationships/hyperlink" Target="https://drive.google.com/open?id=1Ng-rd0XpN_nPcJ_MQ7r_iweJsmA0OSu3" TargetMode="External"/><Relationship Id="rId316" Type="http://schemas.openxmlformats.org/officeDocument/2006/relationships/hyperlink" Target="https://drive.google.com/open?id=17tJYdxULiRdgylffauQoOAEqf3FLt-PH" TargetMode="External"/><Relationship Id="rId55" Type="http://schemas.openxmlformats.org/officeDocument/2006/relationships/hyperlink" Target="https://drive.google.com/open?id=1OAoE1PaNCRT0QMyp9yiCw4TfRcxp4UBi" TargetMode="External"/><Relationship Id="rId97" Type="http://schemas.openxmlformats.org/officeDocument/2006/relationships/hyperlink" Target="https://drive.google.com/open?id=1cWCqNp2SGmakrRoVa0mAIAYBLYWp5Rc3" TargetMode="External"/><Relationship Id="rId120" Type="http://schemas.openxmlformats.org/officeDocument/2006/relationships/hyperlink" Target="https://drive.google.com/open?id=10dcQ-bMCI-3SQunJ1k8GElPmfDVmZFtD" TargetMode="External"/><Relationship Id="rId358" Type="http://schemas.openxmlformats.org/officeDocument/2006/relationships/hyperlink" Target="https://drive.google.com/open?id=1dSFUu2K4X965P4qJFk5uZ8XnZ66t5qEH" TargetMode="External"/><Relationship Id="rId162" Type="http://schemas.openxmlformats.org/officeDocument/2006/relationships/hyperlink" Target="https://drive.google.com/open?id=1mnCcJHjOjImntmIZtkJcOgJ0aGXEeyaE" TargetMode="External"/><Relationship Id="rId218" Type="http://schemas.openxmlformats.org/officeDocument/2006/relationships/hyperlink" Target="https://drive.google.com/open?id=1q8p0kq6--rLojGyukFHtlnBxIh_uYzlm" TargetMode="External"/><Relationship Id="rId271" Type="http://schemas.openxmlformats.org/officeDocument/2006/relationships/hyperlink" Target="https://drive.google.com/open?id=1km955vmVnX861ORBou6hFZUcJnpBi4sw" TargetMode="External"/><Relationship Id="rId24" Type="http://schemas.openxmlformats.org/officeDocument/2006/relationships/hyperlink" Target="https://drive.google.com/open?id=12R32jykJqBiD4m0faBR_OpTYqHj9_rQZ" TargetMode="External"/><Relationship Id="rId66" Type="http://schemas.openxmlformats.org/officeDocument/2006/relationships/hyperlink" Target="https://drive.google.com/open?id=1Odq-zMRbx9bE7VofUX87jsIU77v41foK" TargetMode="External"/><Relationship Id="rId131" Type="http://schemas.openxmlformats.org/officeDocument/2006/relationships/hyperlink" Target="https://drive.google.com/open?id=1rumIBOJV0ZOoHBY-SUFE2IO7nwo7L425" TargetMode="External"/><Relationship Id="rId327" Type="http://schemas.openxmlformats.org/officeDocument/2006/relationships/hyperlink" Target="https://drive.google.com/open?id=1O1HwCNBIfEYun_0SMqrgsUbWoRa0uTne" TargetMode="External"/><Relationship Id="rId173" Type="http://schemas.openxmlformats.org/officeDocument/2006/relationships/hyperlink" Target="https://drive.google.com/open?id=1QPz-NOfDjuB2iFqxbXg22bChSJE3ZxUr" TargetMode="External"/><Relationship Id="rId229" Type="http://schemas.openxmlformats.org/officeDocument/2006/relationships/hyperlink" Target="https://drive.google.com/open?id=1sEHw0bShndJO9uhXufMHCEU9yblkX1SC" TargetMode="External"/><Relationship Id="rId240" Type="http://schemas.openxmlformats.org/officeDocument/2006/relationships/hyperlink" Target="https://drive.google.com/open?id=1up04_srOY2QDRSHuyZWVITItLe-zD5Po" TargetMode="External"/><Relationship Id="rId35" Type="http://schemas.openxmlformats.org/officeDocument/2006/relationships/hyperlink" Target="https://drive.google.com/open?id=1FxOs9ZJmJjH8f5ftyEaZ2RozWnKvrnUN" TargetMode="External"/><Relationship Id="rId77" Type="http://schemas.openxmlformats.org/officeDocument/2006/relationships/hyperlink" Target="https://drive.google.com/open?id=1hsBJdlmrv-CUdhQiw2iYLmznzQdJa_1n" TargetMode="External"/><Relationship Id="rId100" Type="http://schemas.openxmlformats.org/officeDocument/2006/relationships/hyperlink" Target="https://drive.google.com/open?id=1WQxuGJFw6Qabz4Pd3krKlAbB1U9maz4N" TargetMode="External"/><Relationship Id="rId282" Type="http://schemas.openxmlformats.org/officeDocument/2006/relationships/hyperlink" Target="https://drive.google.com/open?id=1EORXXgMoGD2ksWmFZ6uEZdRBuK-q86ZM" TargetMode="External"/><Relationship Id="rId338" Type="http://schemas.openxmlformats.org/officeDocument/2006/relationships/hyperlink" Target="https://drive.google.com/open?id=1kS2W5D1QMiLTUobQf8RimkB-3KUsz7VT" TargetMode="External"/><Relationship Id="rId8" Type="http://schemas.openxmlformats.org/officeDocument/2006/relationships/hyperlink" Target="https://drive.google.com/open?id=1HaRzkyyphL5RboxgdkboM7ZufG0PbeSA" TargetMode="External"/><Relationship Id="rId142" Type="http://schemas.openxmlformats.org/officeDocument/2006/relationships/hyperlink" Target="https://drive.google.com/open?id=1LjvGvdBMGaW9lQ4_AOzGOHZXjxv9MCdw" TargetMode="External"/><Relationship Id="rId184" Type="http://schemas.openxmlformats.org/officeDocument/2006/relationships/hyperlink" Target="https://drive.google.com/open?id=1bwtnFvSb4u0oDZ8qXxfyMSslmSGK_UJ3" TargetMode="External"/><Relationship Id="rId251" Type="http://schemas.openxmlformats.org/officeDocument/2006/relationships/hyperlink" Target="https://drive.google.com/open?id=1M3oJ58HEiRW59r0ebae2uh_b-h1CBxO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open?id=1_O-qYHi-i6c5Z05jBgqxDEGoUYADIj5j" TargetMode="External"/><Relationship Id="rId299" Type="http://schemas.openxmlformats.org/officeDocument/2006/relationships/hyperlink" Target="https://drive.google.com/open?id=1fKlaSZYPl-kUPQhMuYvCQ7HlR5HcQjGh" TargetMode="External"/><Relationship Id="rId21" Type="http://schemas.openxmlformats.org/officeDocument/2006/relationships/hyperlink" Target="https://drive.google.com/open?id=1pkOZv-Yy3pngzTcul_6hZfidEuYuq7Al" TargetMode="External"/><Relationship Id="rId63" Type="http://schemas.openxmlformats.org/officeDocument/2006/relationships/hyperlink" Target="https://drive.google.com/open?id=19guMZlcUhfl8xPILyjjbJANop9iq725j" TargetMode="External"/><Relationship Id="rId159" Type="http://schemas.openxmlformats.org/officeDocument/2006/relationships/hyperlink" Target="https://drive.google.com/open?id=1odS_hvCQ4s5w9_sEV3oQe0BA-ZP2S9-X" TargetMode="External"/><Relationship Id="rId324" Type="http://schemas.openxmlformats.org/officeDocument/2006/relationships/hyperlink" Target="https://drive.google.com/open?id=1im8Kli0IcDfP5_E3BQ44zRFVYRS23A6v" TargetMode="External"/><Relationship Id="rId170" Type="http://schemas.openxmlformats.org/officeDocument/2006/relationships/hyperlink" Target="https://drive.google.com/open?id=1uXw9hTnKVP_ke2_PxGXgxwcTYaIqEqKI" TargetMode="External"/><Relationship Id="rId226" Type="http://schemas.openxmlformats.org/officeDocument/2006/relationships/hyperlink" Target="https://drive.google.com/open?id=1wD9zAVSK1APiu8gGSqtKSm6jpxNVGnS-" TargetMode="External"/><Relationship Id="rId268" Type="http://schemas.openxmlformats.org/officeDocument/2006/relationships/hyperlink" Target="https://drive.google.com/open?id=1lFsARrBmSiDc8Aee-K6bvz-RrQ5ZC9H0" TargetMode="External"/><Relationship Id="rId32" Type="http://schemas.openxmlformats.org/officeDocument/2006/relationships/hyperlink" Target="https://drive.google.com/open?id=18gLzH-dsMzElK9lbbjq_QWpzY8qx53sV" TargetMode="External"/><Relationship Id="rId74" Type="http://schemas.openxmlformats.org/officeDocument/2006/relationships/hyperlink" Target="https://drive.google.com/open?id=1mT3vwcmYAlqCc0EjCgXiKD5o984WIhXC" TargetMode="External"/><Relationship Id="rId128" Type="http://schemas.openxmlformats.org/officeDocument/2006/relationships/hyperlink" Target="https://drive.google.com/open?id=1sWtS9SxWigqTEpQ4sRF5TYuqQvp05j6r" TargetMode="External"/><Relationship Id="rId335" Type="http://schemas.openxmlformats.org/officeDocument/2006/relationships/hyperlink" Target="https://drive.google.com/open?id=1k9yfa5eVVMBzdDbtdqm8C1arUnBVfVQR" TargetMode="External"/><Relationship Id="rId5" Type="http://schemas.openxmlformats.org/officeDocument/2006/relationships/hyperlink" Target="https://drive.google.com/open?id=1FRdZA1sx6N-UNlMk7slBJnQs9MaeiW3e" TargetMode="External"/><Relationship Id="rId181" Type="http://schemas.openxmlformats.org/officeDocument/2006/relationships/hyperlink" Target="https://drive.google.com/open?id=1BipYJlxvFhpEfJABpm3w91Oix-ebBSZ-" TargetMode="External"/><Relationship Id="rId237" Type="http://schemas.openxmlformats.org/officeDocument/2006/relationships/hyperlink" Target="https://drive.google.com/open?id=1t55rn0Uv01dDGOQq-ftp-fndhjxh0RxQ" TargetMode="External"/><Relationship Id="rId279" Type="http://schemas.openxmlformats.org/officeDocument/2006/relationships/hyperlink" Target="https://drive.google.com/open?id=1o-xzqFK8sS1rqGFeM7zHu-Ntl6rek12H" TargetMode="External"/><Relationship Id="rId43" Type="http://schemas.openxmlformats.org/officeDocument/2006/relationships/hyperlink" Target="https://drive.google.com/open?id=1Yujwro41qwvn4Txo2iXK6ANaFa6AB0og" TargetMode="External"/><Relationship Id="rId139" Type="http://schemas.openxmlformats.org/officeDocument/2006/relationships/hyperlink" Target="https://drive.google.com/open?id=1NFukGrWGhtbCsBfXLNH4BkNq0zrc90rt" TargetMode="External"/><Relationship Id="rId290" Type="http://schemas.openxmlformats.org/officeDocument/2006/relationships/hyperlink" Target="https://drive.google.com/open?id=1sBdOuLcr7LJknZdOzyuB6w90w4nGlbKj" TargetMode="External"/><Relationship Id="rId304" Type="http://schemas.openxmlformats.org/officeDocument/2006/relationships/hyperlink" Target="https://drive.google.com/open?id=1rIpPcfs4c59wuTbSVbzifEVeJVlF54bd" TargetMode="External"/><Relationship Id="rId346" Type="http://schemas.openxmlformats.org/officeDocument/2006/relationships/hyperlink" Target="https://drive.google.com/open?id=10_0KkuxYhqoravkrj4ZV6q4WHJIKvf6p" TargetMode="External"/><Relationship Id="rId85" Type="http://schemas.openxmlformats.org/officeDocument/2006/relationships/hyperlink" Target="https://drive.google.com/open?id=1G_4Xq33IHGrK6A21LMwwyBHC3mfIc-Jd" TargetMode="External"/><Relationship Id="rId150" Type="http://schemas.openxmlformats.org/officeDocument/2006/relationships/hyperlink" Target="https://drive.google.com/open?id=14Fq8QvfoATIlmxnEBqoviDVbu5qMzFH5" TargetMode="External"/><Relationship Id="rId192" Type="http://schemas.openxmlformats.org/officeDocument/2006/relationships/hyperlink" Target="https://drive.google.com/open?id=1wI1lt881ESE6lEzW5P5igNfzQ9whqZKF" TargetMode="External"/><Relationship Id="rId206" Type="http://schemas.openxmlformats.org/officeDocument/2006/relationships/hyperlink" Target="https://drive.google.com/open?id=19pI7DvWBxTYHSNRU8h_Eke3ZW3tjhABz" TargetMode="External"/><Relationship Id="rId248" Type="http://schemas.openxmlformats.org/officeDocument/2006/relationships/hyperlink" Target="https://drive.google.com/open?id=1RN3d2Ln2AIskywYfmS6v0DhTOTh88_Wo" TargetMode="External"/><Relationship Id="rId12" Type="http://schemas.openxmlformats.org/officeDocument/2006/relationships/hyperlink" Target="https://drive.google.com/open?id=1efP1oyDoPAZE5v8DaRc4mHzsgtsYMYRQ" TargetMode="External"/><Relationship Id="rId108" Type="http://schemas.openxmlformats.org/officeDocument/2006/relationships/hyperlink" Target="https://drive.google.com/open?id=1j1ZSiNnLjKfGliu4S_tuLmTBTylV5FGy" TargetMode="External"/><Relationship Id="rId315" Type="http://schemas.openxmlformats.org/officeDocument/2006/relationships/hyperlink" Target="https://drive.google.com/open?id=1M_65YtBzuJcj2jgoX42e-OmOwIzjl3FO" TargetMode="External"/><Relationship Id="rId357" Type="http://schemas.openxmlformats.org/officeDocument/2006/relationships/hyperlink" Target="https://drive.google.com/open?id=1St4aIshxr2edc5nB2jU8iqOk7JMQnmav" TargetMode="External"/><Relationship Id="rId54" Type="http://schemas.openxmlformats.org/officeDocument/2006/relationships/hyperlink" Target="https://drive.google.com/open?id=11h33vu-D-F5k_uST3MvS-bN6Hy75Y8Cm" TargetMode="External"/><Relationship Id="rId96" Type="http://schemas.openxmlformats.org/officeDocument/2006/relationships/hyperlink" Target="https://drive.google.com/open?id=1H3IbgTW3nX9yKvNYYQmrfHqz-6RspmQl" TargetMode="External"/><Relationship Id="rId161" Type="http://schemas.openxmlformats.org/officeDocument/2006/relationships/hyperlink" Target="https://drive.google.com/open?id=1WQxuGJFw6Qabz4Pd3krKlAbB1U9maz4N" TargetMode="External"/><Relationship Id="rId217" Type="http://schemas.openxmlformats.org/officeDocument/2006/relationships/hyperlink" Target="https://drive.google.com/open?id=1JWtCx77G6HEQ7ig2f3WgXF2WW3xkhUVm" TargetMode="External"/><Relationship Id="rId259" Type="http://schemas.openxmlformats.org/officeDocument/2006/relationships/hyperlink" Target="https://drive.google.com/open?id=13WlPp2DAVSAfPyk_jsNIP904vDdYjiPT" TargetMode="External"/><Relationship Id="rId23" Type="http://schemas.openxmlformats.org/officeDocument/2006/relationships/hyperlink" Target="https://drive.google.com/open?id=1EMYHC7kXM06iv-wF1h6W2TWtySWduy6S" TargetMode="External"/><Relationship Id="rId119" Type="http://schemas.openxmlformats.org/officeDocument/2006/relationships/hyperlink" Target="https://drive.google.com/open?id=11YE6dJNQ69RUfkLRpBK5h2O98BXNhO50" TargetMode="External"/><Relationship Id="rId270" Type="http://schemas.openxmlformats.org/officeDocument/2006/relationships/hyperlink" Target="https://drive.google.com/open?id=1AfQ_OH7jT5JuH2Fm7C57kyzv-wCCNH8Y" TargetMode="External"/><Relationship Id="rId326" Type="http://schemas.openxmlformats.org/officeDocument/2006/relationships/hyperlink" Target="https://drive.google.com/open?id=1y5fH3iQNhRkt5ryf1cC2qLw64EAfsIsT" TargetMode="External"/><Relationship Id="rId65" Type="http://schemas.openxmlformats.org/officeDocument/2006/relationships/hyperlink" Target="https://drive.google.com/open?id=1Q1fvJkOe72biUjHmLSRnZgilN8yvlAUK" TargetMode="External"/><Relationship Id="rId130" Type="http://schemas.openxmlformats.org/officeDocument/2006/relationships/hyperlink" Target="https://drive.google.com/open?id=1dE4CBJGJC3MPW5fZXk_uTBHp3dxEvS9u" TargetMode="External"/><Relationship Id="rId172" Type="http://schemas.openxmlformats.org/officeDocument/2006/relationships/hyperlink" Target="https://drive.google.com/open?id=1HMh6wY4HrqMpIbiKmuSAgL8sqNll4pdN" TargetMode="External"/><Relationship Id="rId228" Type="http://schemas.openxmlformats.org/officeDocument/2006/relationships/hyperlink" Target="https://drive.google.com/open?id=1iR3fPE34rlgjsBJaCWZUCIFafUdqQMy2" TargetMode="External"/><Relationship Id="rId281" Type="http://schemas.openxmlformats.org/officeDocument/2006/relationships/hyperlink" Target="https://drive.google.com/open?id=19PJkP6ePTTQXMU1UbG77ezJbZprqWSYU" TargetMode="External"/><Relationship Id="rId337" Type="http://schemas.openxmlformats.org/officeDocument/2006/relationships/hyperlink" Target="https://drive.google.com/open?id=154YqbLZj9gDGwgJyqAHbbdfOMgQlXzUm" TargetMode="External"/><Relationship Id="rId34" Type="http://schemas.openxmlformats.org/officeDocument/2006/relationships/hyperlink" Target="https://drive.google.com/open?id=1VNA5gVvQAL6lDLN_Z0bTYTdn4MJDJrI_" TargetMode="External"/><Relationship Id="rId76" Type="http://schemas.openxmlformats.org/officeDocument/2006/relationships/hyperlink" Target="https://drive.google.com/open?id=1mnCcJHjOjImntmIZtkJcOgJ0aGXEeyaE" TargetMode="External"/><Relationship Id="rId141" Type="http://schemas.openxmlformats.org/officeDocument/2006/relationships/hyperlink" Target="https://drive.google.com/open?id=1w7csIaAIGCOeVUXe4qV6rUEt_o5g5T9d" TargetMode="External"/><Relationship Id="rId7" Type="http://schemas.openxmlformats.org/officeDocument/2006/relationships/hyperlink" Target="https://drive.google.com/open?id=1MjJ0yP-fyzpc3gNGxSNWDzar2E1iAKtS" TargetMode="External"/><Relationship Id="rId183" Type="http://schemas.openxmlformats.org/officeDocument/2006/relationships/hyperlink" Target="https://drive.google.com/open?id=1_EysKEL_s3VQOGpBNCjxULZoqh8QXH47" TargetMode="External"/><Relationship Id="rId239" Type="http://schemas.openxmlformats.org/officeDocument/2006/relationships/hyperlink" Target="https://drive.google.com/open?id=1dKrEti3ESodC5SMWLZ7UXPm1itdNjXe_" TargetMode="External"/><Relationship Id="rId250" Type="http://schemas.openxmlformats.org/officeDocument/2006/relationships/hyperlink" Target="https://drive.google.com/open?id=1iTfU-W0yRWJFp9u2815tSX8XAUwhG6d-" TargetMode="External"/><Relationship Id="rId292" Type="http://schemas.openxmlformats.org/officeDocument/2006/relationships/hyperlink" Target="https://drive.google.com/open?id=1GjZfsn1DJ7D-_jHxCfGVWw3vDS0hmvDV" TargetMode="External"/><Relationship Id="rId306" Type="http://schemas.openxmlformats.org/officeDocument/2006/relationships/hyperlink" Target="https://drive.google.com/open?id=1I5w7J9vJ5SPlvxRTgZj0xb9QKufHR13K" TargetMode="External"/><Relationship Id="rId45" Type="http://schemas.openxmlformats.org/officeDocument/2006/relationships/hyperlink" Target="https://drive.google.com/open?id=1EUaQt8E0m23iuqmq4yBYo0nq7qX8Mk2S" TargetMode="External"/><Relationship Id="rId87" Type="http://schemas.openxmlformats.org/officeDocument/2006/relationships/hyperlink" Target="https://drive.google.com/open?id=1j7qssuJSwksEHr4ISypqfWVtL3vuVwMC" TargetMode="External"/><Relationship Id="rId110" Type="http://schemas.openxmlformats.org/officeDocument/2006/relationships/hyperlink" Target="https://drive.google.com/open?id=10UsVz6sCItNwo28btFv7PxTu9H_yS3YM" TargetMode="External"/><Relationship Id="rId348" Type="http://schemas.openxmlformats.org/officeDocument/2006/relationships/hyperlink" Target="https://drive.google.com/open?id=1KfI9b0g3eZAOjfOQRrimvUG3L61-llqS" TargetMode="External"/><Relationship Id="rId152" Type="http://schemas.openxmlformats.org/officeDocument/2006/relationships/hyperlink" Target="https://drive.google.com/open?id=1UgitYralTiuHdMnYQEOOI2GVE2xYPTZg" TargetMode="External"/><Relationship Id="rId194" Type="http://schemas.openxmlformats.org/officeDocument/2006/relationships/hyperlink" Target="https://drive.google.com/open?id=17Yawe34AWqI5Vk1shlAvVtgkqEWNG-vQ" TargetMode="External"/><Relationship Id="rId208" Type="http://schemas.openxmlformats.org/officeDocument/2006/relationships/hyperlink" Target="https://drive.google.com/open?id=1Odq-zMRbx9bE7VofUX87jsIU77v41foK" TargetMode="External"/><Relationship Id="rId261" Type="http://schemas.openxmlformats.org/officeDocument/2006/relationships/hyperlink" Target="https://drive.google.com/open?id=1J5I1dURMUBNn1EHgZOGT7bQQfTsOQzkC" TargetMode="External"/><Relationship Id="rId14" Type="http://schemas.openxmlformats.org/officeDocument/2006/relationships/hyperlink" Target="https://drive.google.com/open?id=1iIPfdV7CU81MQVgitrZUtUfSXktwSXGZ" TargetMode="External"/><Relationship Id="rId56" Type="http://schemas.openxmlformats.org/officeDocument/2006/relationships/hyperlink" Target="https://drive.google.com/open?id=1sEHw0bShndJO9uhXufMHCEU9yblkX1SC" TargetMode="External"/><Relationship Id="rId317" Type="http://schemas.openxmlformats.org/officeDocument/2006/relationships/hyperlink" Target="https://drive.google.com/open?id=1CAjCSrSKDXIWFBSdcNSda_ZLUYaoWtcg" TargetMode="External"/><Relationship Id="rId359" Type="http://schemas.openxmlformats.org/officeDocument/2006/relationships/hyperlink" Target="https://drive.google.com/open?id=1hs9gYMU2k_YDvpsRCvJTh9T1uoNLQAjs" TargetMode="External"/><Relationship Id="rId98" Type="http://schemas.openxmlformats.org/officeDocument/2006/relationships/hyperlink" Target="https://drive.google.com/open?id=19V0dHCnIKCR_v7sZv73k54sC88Etq7xX" TargetMode="External"/><Relationship Id="rId121" Type="http://schemas.openxmlformats.org/officeDocument/2006/relationships/hyperlink" Target="https://drive.google.com/open?id=1UDMvWHw3wQ07fxuYAc5vIb6pmOil-zjX" TargetMode="External"/><Relationship Id="rId163" Type="http://schemas.openxmlformats.org/officeDocument/2006/relationships/hyperlink" Target="https://drive.google.com/open?id=1UxbJdRkO1xmNguZ5af_vpNm_XO_muUuJ" TargetMode="External"/><Relationship Id="rId219" Type="http://schemas.openxmlformats.org/officeDocument/2006/relationships/hyperlink" Target="https://drive.google.com/open?id=1vX4UQFK9zW2RDeTPdLnAXYijo-PmXi1h" TargetMode="External"/><Relationship Id="rId230" Type="http://schemas.openxmlformats.org/officeDocument/2006/relationships/hyperlink" Target="https://drive.google.com/open?id=1uiQk4TfiZZWWxOXjkK_435QQWhToGRJg" TargetMode="External"/><Relationship Id="rId25" Type="http://schemas.openxmlformats.org/officeDocument/2006/relationships/hyperlink" Target="https://drive.google.com/open?id=1vVUpxipLTtG4v54-IhgrTKYegtGTe60f" TargetMode="External"/><Relationship Id="rId67" Type="http://schemas.openxmlformats.org/officeDocument/2006/relationships/hyperlink" Target="https://drive.google.com/open?id=1_Kq2eQyM1PVPVzJlMjlW6GYklnW3t_rw" TargetMode="External"/><Relationship Id="rId272" Type="http://schemas.openxmlformats.org/officeDocument/2006/relationships/hyperlink" Target="https://drive.google.com/open?id=1b2Vh9ixkHQ1FZ0CVwOSs_QtQUKXGu_Zk" TargetMode="External"/><Relationship Id="rId328" Type="http://schemas.openxmlformats.org/officeDocument/2006/relationships/hyperlink" Target="https://drive.google.com/open?id=1Q_DYbl_IlwS0p4LpDMo_gL3s1U9nJI0r" TargetMode="External"/><Relationship Id="rId88" Type="http://schemas.openxmlformats.org/officeDocument/2006/relationships/hyperlink" Target="https://drive.google.com/open?id=1u95jJG3H6igJe-17Towei_ld3hlaPLY7" TargetMode="External"/><Relationship Id="rId111" Type="http://schemas.openxmlformats.org/officeDocument/2006/relationships/hyperlink" Target="https://drive.google.com/open?id=1TkzldX77--ESP57nmr0N4HwnUkMPOj21" TargetMode="External"/><Relationship Id="rId132" Type="http://schemas.openxmlformats.org/officeDocument/2006/relationships/hyperlink" Target="https://drive.google.com/open?id=1N1SAzfl4EubL1kibvyA95YG5HtFzxybd" TargetMode="External"/><Relationship Id="rId153" Type="http://schemas.openxmlformats.org/officeDocument/2006/relationships/hyperlink" Target="https://drive.google.com/open?id=1mY9vbuSO8AvYCGkoe-IzVVuypp6jpKD8" TargetMode="External"/><Relationship Id="rId174" Type="http://schemas.openxmlformats.org/officeDocument/2006/relationships/hyperlink" Target="https://drive.google.com/open?id=1yJhjT-Hm3ATPUI0yW_8sw3FRFAbifM0q" TargetMode="External"/><Relationship Id="rId195" Type="http://schemas.openxmlformats.org/officeDocument/2006/relationships/hyperlink" Target="https://drive.google.com/open?id=1fxhL33g6iSGRjVuyXZr8AWL4WFQ7DLkJ" TargetMode="External"/><Relationship Id="rId209" Type="http://schemas.openxmlformats.org/officeDocument/2006/relationships/hyperlink" Target="https://drive.google.com/open?id=1gN1_kg8SfWk47gMR247aujrce7m8rtX4" TargetMode="External"/><Relationship Id="rId360" Type="http://schemas.openxmlformats.org/officeDocument/2006/relationships/hyperlink" Target="https://drive.google.com/open?id=17xYsTcapX41Wop1CC5e5J5MRTL3pQFIT" TargetMode="External"/><Relationship Id="rId220" Type="http://schemas.openxmlformats.org/officeDocument/2006/relationships/hyperlink" Target="https://drive.google.com/open?id=1vZFzvBtVhB25lFIR00lxPKgKDzVZDSyh" TargetMode="External"/><Relationship Id="rId241" Type="http://schemas.openxmlformats.org/officeDocument/2006/relationships/hyperlink" Target="https://drive.google.com/open?id=1BW1I5WXiI7iedcSO85TyPiEpKLCdjAjZ" TargetMode="External"/><Relationship Id="rId15" Type="http://schemas.openxmlformats.org/officeDocument/2006/relationships/hyperlink" Target="https://drive.google.com/open?id=1rumIBOJV0ZOoHBY-SUFE2IO7nwo7L425" TargetMode="External"/><Relationship Id="rId36" Type="http://schemas.openxmlformats.org/officeDocument/2006/relationships/hyperlink" Target="https://drive.google.com/open?id=1kg5eeF5HZ7hzArsyMvifFBtL0JW4AoT_" TargetMode="External"/><Relationship Id="rId57" Type="http://schemas.openxmlformats.org/officeDocument/2006/relationships/hyperlink" Target="https://drive.google.com/open?id=1bwkt3zdV8pKCCNHSxvRucNEu6tnRR4wx" TargetMode="External"/><Relationship Id="rId262" Type="http://schemas.openxmlformats.org/officeDocument/2006/relationships/hyperlink" Target="https://drive.google.com/open?id=185ykWYHvy952tEvGKVRczNBE2cm3Llry" TargetMode="External"/><Relationship Id="rId283" Type="http://schemas.openxmlformats.org/officeDocument/2006/relationships/hyperlink" Target="https://drive.google.com/open?id=1O1HwCNBIfEYun_0SMqrgsUbWoRa0uTne" TargetMode="External"/><Relationship Id="rId318" Type="http://schemas.openxmlformats.org/officeDocument/2006/relationships/hyperlink" Target="https://drive.google.com/open?id=1HmX5t3io3zo0BNjNyzdXoJJm5ZhidezF" TargetMode="External"/><Relationship Id="rId339" Type="http://schemas.openxmlformats.org/officeDocument/2006/relationships/hyperlink" Target="https://drive.google.com/open?id=1FAfLQRTZYlKMt4a63DCXXQyhx8fBdzVZ" TargetMode="External"/><Relationship Id="rId78" Type="http://schemas.openxmlformats.org/officeDocument/2006/relationships/hyperlink" Target="https://drive.google.com/open?id=1zKs9pUGZU-8dKwiL2M4J99oj9swi2c-b" TargetMode="External"/><Relationship Id="rId99" Type="http://schemas.openxmlformats.org/officeDocument/2006/relationships/hyperlink" Target="https://drive.google.com/open?id=1TXrWEhXlH1dBjo9ykPUCxCtvScRl7ke_" TargetMode="External"/><Relationship Id="rId101" Type="http://schemas.openxmlformats.org/officeDocument/2006/relationships/hyperlink" Target="https://drive.google.com/open?id=1dYhOt6swd-Q6nokmQHYMSOoEpoXQHIRE" TargetMode="External"/><Relationship Id="rId122" Type="http://schemas.openxmlformats.org/officeDocument/2006/relationships/hyperlink" Target="https://drive.google.com/open?id=1LhMtpJv5Vzihyc8vVzyZ5S_2XlyahG3T" TargetMode="External"/><Relationship Id="rId143" Type="http://schemas.openxmlformats.org/officeDocument/2006/relationships/hyperlink" Target="https://drive.google.com/open?id=1a_8Hb9SpkojBispSp9617XKSSjdqieBG" TargetMode="External"/><Relationship Id="rId164" Type="http://schemas.openxmlformats.org/officeDocument/2006/relationships/hyperlink" Target="https://drive.google.com/open?id=1_VQuxA1wgyUuTpMvmMqNPEHI2jIW2lbN" TargetMode="External"/><Relationship Id="rId185" Type="http://schemas.openxmlformats.org/officeDocument/2006/relationships/hyperlink" Target="https://drive.google.com/open?id=1yry6p44xTx6C5LYS9cmlvhiWLW7vw8nl" TargetMode="External"/><Relationship Id="rId350" Type="http://schemas.openxmlformats.org/officeDocument/2006/relationships/hyperlink" Target="https://drive.google.com/open?id=1vAjRTIf6i_t8yakwyLCkvnZUklY5E4GU" TargetMode="External"/><Relationship Id="rId9" Type="http://schemas.openxmlformats.org/officeDocument/2006/relationships/hyperlink" Target="https://drive.google.com/open?id=1EZqEmyL-UFcapLjQtaktHSKgm7ZLcHPz" TargetMode="External"/><Relationship Id="rId210" Type="http://schemas.openxmlformats.org/officeDocument/2006/relationships/hyperlink" Target="https://drive.google.com/open?id=1W34uVcrk7LeKOhQYMBnsvmFNxlIB3vYF" TargetMode="External"/><Relationship Id="rId26" Type="http://schemas.openxmlformats.org/officeDocument/2006/relationships/hyperlink" Target="https://drive.google.com/open?id=1ozOzq65877nH7_bl-lYZkNEOgSv5IonB" TargetMode="External"/><Relationship Id="rId231" Type="http://schemas.openxmlformats.org/officeDocument/2006/relationships/hyperlink" Target="https://drive.google.com/open?id=1uhYthS3yjRfcuJkHFlilXQ6zhWWL7Fyv" TargetMode="External"/><Relationship Id="rId252" Type="http://schemas.openxmlformats.org/officeDocument/2006/relationships/hyperlink" Target="https://drive.google.com/open?id=1prfSOXKrjWS_xQ95fZpqujdgYp67WQLd" TargetMode="External"/><Relationship Id="rId273" Type="http://schemas.openxmlformats.org/officeDocument/2006/relationships/hyperlink" Target="https://drive.google.com/open?id=1Ng-rd0XpN_nPcJ_MQ7r_iweJsmA0OSu3" TargetMode="External"/><Relationship Id="rId294" Type="http://schemas.openxmlformats.org/officeDocument/2006/relationships/hyperlink" Target="https://drive.google.com/open?id=1RAvg_NLnDeXyLlvatrKeMrJB-nedPyRq" TargetMode="External"/><Relationship Id="rId308" Type="http://schemas.openxmlformats.org/officeDocument/2006/relationships/hyperlink" Target="https://drive.google.com/open?id=17H6DEIoGOU6a43lBkZNm21JAn9nV6_dg" TargetMode="External"/><Relationship Id="rId329" Type="http://schemas.openxmlformats.org/officeDocument/2006/relationships/hyperlink" Target="https://drive.google.com/open?id=1gD3Pazq90IEqfgt5IOx6SQnzjHMaOjYl" TargetMode="External"/><Relationship Id="rId47" Type="http://schemas.openxmlformats.org/officeDocument/2006/relationships/hyperlink" Target="https://drive.google.com/open?id=1YlyD1zyumBI-e5vHruNvz6K7wfNuAon6" TargetMode="External"/><Relationship Id="rId68" Type="http://schemas.openxmlformats.org/officeDocument/2006/relationships/hyperlink" Target="https://drive.google.com/open?id=1P2767IKI-VzbsErbTi-H2V7NMXkIdf-d" TargetMode="External"/><Relationship Id="rId89" Type="http://schemas.openxmlformats.org/officeDocument/2006/relationships/hyperlink" Target="https://drive.google.com/open?id=1UVaAgdAoQGIRLqIom6XrnfZuYRJSzoP3" TargetMode="External"/><Relationship Id="rId112" Type="http://schemas.openxmlformats.org/officeDocument/2006/relationships/hyperlink" Target="https://drive.google.com/open?id=1Z8DUCxqoLGj9gwOmsdXbg1B2M9Pf_6yx" TargetMode="External"/><Relationship Id="rId133" Type="http://schemas.openxmlformats.org/officeDocument/2006/relationships/hyperlink" Target="https://drive.google.com/open?id=1myHfrUwMk_XebyqmEGG6yRpOvuhslnJw" TargetMode="External"/><Relationship Id="rId154" Type="http://schemas.openxmlformats.org/officeDocument/2006/relationships/hyperlink" Target="https://drive.google.com/open?id=1iwdJRB5rVSE5S4B8yJ614BEasj_681Ln" TargetMode="External"/><Relationship Id="rId175" Type="http://schemas.openxmlformats.org/officeDocument/2006/relationships/hyperlink" Target="https://drive.google.com/open?id=1fdRXb4AF_4ctTcLzU8SY4ExmXZzCHLcb" TargetMode="External"/><Relationship Id="rId340" Type="http://schemas.openxmlformats.org/officeDocument/2006/relationships/hyperlink" Target="https://drive.google.com/open?id=11j3gNU-tEhsYilcsB3ueKScP8OQF-v3v" TargetMode="External"/><Relationship Id="rId361" Type="http://schemas.openxmlformats.org/officeDocument/2006/relationships/hyperlink" Target="https://drive.google.com/open?id=1DNLMe-ZQuk4NUIgDqtScKCE6u9qP7gPvyRX213wQMaQ" TargetMode="External"/><Relationship Id="rId196" Type="http://schemas.openxmlformats.org/officeDocument/2006/relationships/hyperlink" Target="https://drive.google.com/open?id=1AayDpxXyDX-FiEZ8nQwSIkP1eCW6JwGt" TargetMode="External"/><Relationship Id="rId200" Type="http://schemas.openxmlformats.org/officeDocument/2006/relationships/hyperlink" Target="https://drive.google.com/open?id=1Bw19pAXYRAqh1nBzD8L44iBHeelSadCp" TargetMode="External"/><Relationship Id="rId16" Type="http://schemas.openxmlformats.org/officeDocument/2006/relationships/hyperlink" Target="https://drive.google.com/open?id=1Xee4IBnKRaUvD4K0rTXO2rVMbS_BYmXT" TargetMode="External"/><Relationship Id="rId221" Type="http://schemas.openxmlformats.org/officeDocument/2006/relationships/hyperlink" Target="https://drive.google.com/open?id=1KARi_Mu6ZN2T_JATVzcad4bdoLZTjleX" TargetMode="External"/><Relationship Id="rId242" Type="http://schemas.openxmlformats.org/officeDocument/2006/relationships/hyperlink" Target="https://drive.google.com/open?id=1OhKlLOmmSZe_l1isaf3iyDsOPajOplXr" TargetMode="External"/><Relationship Id="rId263" Type="http://schemas.openxmlformats.org/officeDocument/2006/relationships/hyperlink" Target="https://drive.google.com/open?id=1wwLiXbFZkAY-VP7s6z9E9GOlknDk5GxS" TargetMode="External"/><Relationship Id="rId284" Type="http://schemas.openxmlformats.org/officeDocument/2006/relationships/hyperlink" Target="https://drive.google.com/open?id=14Xa5bJxyNYKTsDSqc7cunO-ajgIADA_p" TargetMode="External"/><Relationship Id="rId319" Type="http://schemas.openxmlformats.org/officeDocument/2006/relationships/hyperlink" Target="https://drive.google.com/open?id=1sR6KeNj4623j3VPoufR-3HiNBArzOJWp" TargetMode="External"/><Relationship Id="rId37" Type="http://schemas.openxmlformats.org/officeDocument/2006/relationships/hyperlink" Target="https://drive.google.com/open?id=1mjLEAsa9YGAvCDbL06ITgiKsFX_hfXSx" TargetMode="External"/><Relationship Id="rId58" Type="http://schemas.openxmlformats.org/officeDocument/2006/relationships/hyperlink" Target="https://drive.google.com/open?id=1ghZDPtls3suWlsvdZsfZ_euNyxBLDY--" TargetMode="External"/><Relationship Id="rId79" Type="http://schemas.openxmlformats.org/officeDocument/2006/relationships/hyperlink" Target="https://drive.google.com/open?id=1DVKESmsj8iiO6U4wk0_3gAxnaJ4IOi2J" TargetMode="External"/><Relationship Id="rId102" Type="http://schemas.openxmlformats.org/officeDocument/2006/relationships/hyperlink" Target="https://drive.google.com/open?id=1R77ciirHhPysbciJYofd4jqSTow-rniw" TargetMode="External"/><Relationship Id="rId123" Type="http://schemas.openxmlformats.org/officeDocument/2006/relationships/hyperlink" Target="https://drive.google.com/open?id=1hsBJdlmrv-CUdhQiw2iYLmznzQdJa_1n" TargetMode="External"/><Relationship Id="rId144" Type="http://schemas.openxmlformats.org/officeDocument/2006/relationships/hyperlink" Target="https://drive.google.com/open?id=1KyQNsTNDp0I3BLaOzSRe__DAqe8OUH-F" TargetMode="External"/><Relationship Id="rId330" Type="http://schemas.openxmlformats.org/officeDocument/2006/relationships/hyperlink" Target="https://drive.google.com/open?id=1RdR3QYW4fSwYhNhcGcrMo1BoROMhSlo-" TargetMode="External"/><Relationship Id="rId90" Type="http://schemas.openxmlformats.org/officeDocument/2006/relationships/hyperlink" Target="https://drive.google.com/open?id=1kS2W5D1QMiLTUobQf8RimkB-3KUsz7VT" TargetMode="External"/><Relationship Id="rId165" Type="http://schemas.openxmlformats.org/officeDocument/2006/relationships/hyperlink" Target="https://drive.google.com/open?id=1bTYrPpAO6owL_tCTanjlUrey2ruviIrX" TargetMode="External"/><Relationship Id="rId186" Type="http://schemas.openxmlformats.org/officeDocument/2006/relationships/hyperlink" Target="https://drive.google.com/open?id=1Y24zYNqCVJ7cVd2jevCoZVjPkAL1G-Ya" TargetMode="External"/><Relationship Id="rId351" Type="http://schemas.openxmlformats.org/officeDocument/2006/relationships/hyperlink" Target="https://drive.google.com/open?id=1eq3Jz9_yDWlnxwLFVqwBwe3dJmvRAd4D" TargetMode="External"/><Relationship Id="rId211" Type="http://schemas.openxmlformats.org/officeDocument/2006/relationships/hyperlink" Target="https://drive.google.com/open?id=1uq890oKwDAiWiUOMGvc-0d9Xi43yHv7s" TargetMode="External"/><Relationship Id="rId232" Type="http://schemas.openxmlformats.org/officeDocument/2006/relationships/hyperlink" Target="https://drive.google.com/open?id=1YWRwGEsVMnLB_eqQtNgujw2IAGTpq5S8" TargetMode="External"/><Relationship Id="rId253" Type="http://schemas.openxmlformats.org/officeDocument/2006/relationships/hyperlink" Target="https://drive.google.com/open?id=1wFbGWdwNplCek2VfQNFgUxz0JnrBg5bw" TargetMode="External"/><Relationship Id="rId274" Type="http://schemas.openxmlformats.org/officeDocument/2006/relationships/hyperlink" Target="https://drive.google.com/open?id=1tra0tu1srtqWPfglWip5jg5cIcbFNadk" TargetMode="External"/><Relationship Id="rId295" Type="http://schemas.openxmlformats.org/officeDocument/2006/relationships/hyperlink" Target="https://drive.google.com/open?id=184FmJUxtuBZ2-YEG3QO22es_RXhmdjXn" TargetMode="External"/><Relationship Id="rId309" Type="http://schemas.openxmlformats.org/officeDocument/2006/relationships/hyperlink" Target="https://drive.google.com/open?id=1WVz9wZF1J0bgi985m0tooM2PD5J1rXMQ" TargetMode="External"/><Relationship Id="rId27" Type="http://schemas.openxmlformats.org/officeDocument/2006/relationships/hyperlink" Target="https://drive.google.com/open?id=1DtxoKcR6L6fwtXBpy8xcezgJNg5TLC6B" TargetMode="External"/><Relationship Id="rId48" Type="http://schemas.openxmlformats.org/officeDocument/2006/relationships/hyperlink" Target="https://drive.google.com/open?id=1tGJqhCmviiu7lwjeGbRwxIRQYEmI4nIY" TargetMode="External"/><Relationship Id="rId69" Type="http://schemas.openxmlformats.org/officeDocument/2006/relationships/hyperlink" Target="https://drive.google.com/open?id=1y5DGB-2SN600G6HhFD82fl4dh5ftVoxA" TargetMode="External"/><Relationship Id="rId113" Type="http://schemas.openxmlformats.org/officeDocument/2006/relationships/hyperlink" Target="https://drive.google.com/open?id=1xqjHkzSdNG8rme3_2yj1DaT0PzGQgPFP" TargetMode="External"/><Relationship Id="rId134" Type="http://schemas.openxmlformats.org/officeDocument/2006/relationships/hyperlink" Target="https://drive.google.com/open?id=1KPbvBetB6wiNU-05LvhPKSyAgxM_0wwt" TargetMode="External"/><Relationship Id="rId320" Type="http://schemas.openxmlformats.org/officeDocument/2006/relationships/hyperlink" Target="https://drive.google.com/open?id=1hc4cKN7jgTch2WiRPekMvGj7cm9Fnh7v" TargetMode="External"/><Relationship Id="rId80" Type="http://schemas.openxmlformats.org/officeDocument/2006/relationships/hyperlink" Target="https://drive.google.com/open?id=1OAoE1PaNCRT0QMyp9yiCw4TfRcxp4UBi" TargetMode="External"/><Relationship Id="rId155" Type="http://schemas.openxmlformats.org/officeDocument/2006/relationships/hyperlink" Target="https://drive.google.com/open?id=1YNpknbc2c0-Gz5Q_hbuG42eZwBfVvorD" TargetMode="External"/><Relationship Id="rId176" Type="http://schemas.openxmlformats.org/officeDocument/2006/relationships/hyperlink" Target="https://drive.google.com/open?id=1cov_a6Ayv1BPT1KYKACTJbO-DCS-qDbE" TargetMode="External"/><Relationship Id="rId197" Type="http://schemas.openxmlformats.org/officeDocument/2006/relationships/hyperlink" Target="https://drive.google.com/open?id=1t8TnVjrpnDMm3JOAp4Eb5mjaZgutGFx1" TargetMode="External"/><Relationship Id="rId341" Type="http://schemas.openxmlformats.org/officeDocument/2006/relationships/hyperlink" Target="https://drive.google.com/open?id=1cyL4Qxq9Rreo9Kmi5FC9OrG0MgnL98f4" TargetMode="External"/><Relationship Id="rId201" Type="http://schemas.openxmlformats.org/officeDocument/2006/relationships/hyperlink" Target="https://drive.google.com/open?id=1rAMue_cYrtMWvVgBiSoJf3oRu0sF892X" TargetMode="External"/><Relationship Id="rId222" Type="http://schemas.openxmlformats.org/officeDocument/2006/relationships/hyperlink" Target="https://drive.google.com/open?id=1B-82u1BygVaM9_mOmrewL1Taeo3dqxdC" TargetMode="External"/><Relationship Id="rId243" Type="http://schemas.openxmlformats.org/officeDocument/2006/relationships/hyperlink" Target="https://drive.google.com/open?id=1v5PFNVdrwYNJ3OCQXTUJYDaI4KX_Wsr5" TargetMode="External"/><Relationship Id="rId264" Type="http://schemas.openxmlformats.org/officeDocument/2006/relationships/hyperlink" Target="https://drive.google.com/open?id=1VgxMOMzUsYGDnAO5dcohtAFQyPgPHaXd" TargetMode="External"/><Relationship Id="rId285" Type="http://schemas.openxmlformats.org/officeDocument/2006/relationships/hyperlink" Target="https://drive.google.com/open?id=1AWhWJODDRdjNZ0QW8MyAmmsOSJAU5Q5H" TargetMode="External"/><Relationship Id="rId17" Type="http://schemas.openxmlformats.org/officeDocument/2006/relationships/hyperlink" Target="https://drive.google.com/open?id=1ozZiG5LAo4ir96A9XJuRaVChZ8K4Ytuv" TargetMode="External"/><Relationship Id="rId38" Type="http://schemas.openxmlformats.org/officeDocument/2006/relationships/hyperlink" Target="https://drive.google.com/open?id=1YBEZUssT-IxYtW0vAVehr6ZQ4xdBlrLA" TargetMode="External"/><Relationship Id="rId59" Type="http://schemas.openxmlformats.org/officeDocument/2006/relationships/hyperlink" Target="https://drive.google.com/open?id=1D82xheP6FoKqmMn03d7amZ8eb4s8NOFD" TargetMode="External"/><Relationship Id="rId103" Type="http://schemas.openxmlformats.org/officeDocument/2006/relationships/hyperlink" Target="https://drive.google.com/open?id=1PF9kFMAEO4yXpcNBhdzEkhoGu0qTg3-E" TargetMode="External"/><Relationship Id="rId124" Type="http://schemas.openxmlformats.org/officeDocument/2006/relationships/hyperlink" Target="https://drive.google.com/open?id=1jvwjujEeHpWOUvE4ECrMKd0sLW_KLvLV" TargetMode="External"/><Relationship Id="rId310" Type="http://schemas.openxmlformats.org/officeDocument/2006/relationships/hyperlink" Target="https://drive.google.com/open?id=168iYqIytfHZfOlTDhJEr50owOAzLi21d" TargetMode="External"/><Relationship Id="rId70" Type="http://schemas.openxmlformats.org/officeDocument/2006/relationships/hyperlink" Target="https://drive.google.com/open?id=1utVjdkYSu90-15K14g3AbHJ-krA2rEDz" TargetMode="External"/><Relationship Id="rId91" Type="http://schemas.openxmlformats.org/officeDocument/2006/relationships/hyperlink" Target="https://drive.google.com/open?id=1CvmI6JrPreYSRWiC7KYCfOL54ud66fv7" TargetMode="External"/><Relationship Id="rId145" Type="http://schemas.openxmlformats.org/officeDocument/2006/relationships/hyperlink" Target="https://drive.google.com/open?id=1GOvZwtVk4OuEDBZhmj-oZWMjjQ1SNCXr" TargetMode="External"/><Relationship Id="rId166" Type="http://schemas.openxmlformats.org/officeDocument/2006/relationships/hyperlink" Target="https://drive.google.com/open?id=1OJbEPT49FBwX_L-4n0S1yMeHwkr5-6VJ" TargetMode="External"/><Relationship Id="rId187" Type="http://schemas.openxmlformats.org/officeDocument/2006/relationships/hyperlink" Target="https://drive.google.com/open?id=1RaC2Fie4kRlVt-KyADYsdWyFELyx_D29" TargetMode="External"/><Relationship Id="rId331" Type="http://schemas.openxmlformats.org/officeDocument/2006/relationships/hyperlink" Target="https://drive.google.com/open?id=1yVinI9mZDtyVv36SToSqbLPMd8qNMyE7" TargetMode="External"/><Relationship Id="rId352" Type="http://schemas.openxmlformats.org/officeDocument/2006/relationships/hyperlink" Target="https://drive.google.com/open?id=1J41ZrGUPYPx9-otNc4Ogb5DBz90sN3dU" TargetMode="External"/><Relationship Id="rId1" Type="http://schemas.openxmlformats.org/officeDocument/2006/relationships/hyperlink" Target="https://lnkd.in/eH6xUHv9" TargetMode="External"/><Relationship Id="rId212" Type="http://schemas.openxmlformats.org/officeDocument/2006/relationships/hyperlink" Target="https://drive.google.com/open?id=1YL8uIa8z91dxBBloOV7dQJT_YL5hNaka" TargetMode="External"/><Relationship Id="rId233" Type="http://schemas.openxmlformats.org/officeDocument/2006/relationships/hyperlink" Target="https://drive.google.com/open?id=1bikB-i1JGBm-CSrmDIGyJvyTTgKbqJft" TargetMode="External"/><Relationship Id="rId254" Type="http://schemas.openxmlformats.org/officeDocument/2006/relationships/hyperlink" Target="https://drive.google.com/open?id=1r6yODMCBvJZr2yHVkP7Vz9ryTR84681v" TargetMode="External"/><Relationship Id="rId28" Type="http://schemas.openxmlformats.org/officeDocument/2006/relationships/hyperlink" Target="https://drive.google.com/open?id=1hJNAMJEiRck2U89w9r7-_ZCXEjuLGUj-" TargetMode="External"/><Relationship Id="rId49" Type="http://schemas.openxmlformats.org/officeDocument/2006/relationships/hyperlink" Target="https://drive.google.com/open?id=1cVHtpwXpMEFOMq_swBvEp9T09HC02PSc" TargetMode="External"/><Relationship Id="rId114" Type="http://schemas.openxmlformats.org/officeDocument/2006/relationships/hyperlink" Target="https://drive.google.com/open?id=1HvTjeukZKBjdBaB26pqXGzy3k1LIL-WS" TargetMode="External"/><Relationship Id="rId275" Type="http://schemas.openxmlformats.org/officeDocument/2006/relationships/hyperlink" Target="https://drive.google.com/open?id=1fyIhsggqmT2I7rxSluMyr0d_Ezv3X0eI" TargetMode="External"/><Relationship Id="rId296" Type="http://schemas.openxmlformats.org/officeDocument/2006/relationships/hyperlink" Target="https://drive.google.com/open?id=1am5f3igdtcjSUlGL1lLesBIK5wLGDFOA" TargetMode="External"/><Relationship Id="rId300" Type="http://schemas.openxmlformats.org/officeDocument/2006/relationships/hyperlink" Target="https://drive.google.com/open?id=17Mrwynx01GTbCi5vEYBTmyZJxaj_ZaRi" TargetMode="External"/><Relationship Id="rId60" Type="http://schemas.openxmlformats.org/officeDocument/2006/relationships/hyperlink" Target="https://drive.google.com/open?id=1AtWJT3h4twJIcZLjwq_nqY_7ouS9Fe3j" TargetMode="External"/><Relationship Id="rId81" Type="http://schemas.openxmlformats.org/officeDocument/2006/relationships/hyperlink" Target="https://drive.google.com/open?id=1TOq9uXc5hKOR74_M3kKSdzbBx-LTEm_8" TargetMode="External"/><Relationship Id="rId135" Type="http://schemas.openxmlformats.org/officeDocument/2006/relationships/hyperlink" Target="https://drive.google.com/open?id=1dV69BDLTGXrioEVxhOJKheeH_6ur2U4S" TargetMode="External"/><Relationship Id="rId156" Type="http://schemas.openxmlformats.org/officeDocument/2006/relationships/hyperlink" Target="https://drive.google.com/open?id=1c6zAe46JGA-E_Sd7OfgZATwEIaGIuSXt" TargetMode="External"/><Relationship Id="rId177" Type="http://schemas.openxmlformats.org/officeDocument/2006/relationships/hyperlink" Target="https://drive.google.com/open?id=13_0qLNqflnl_WENDLu6nTjT9Hz5a5PIw" TargetMode="External"/><Relationship Id="rId198" Type="http://schemas.openxmlformats.org/officeDocument/2006/relationships/hyperlink" Target="https://drive.google.com/open?id=1oZfWZeL-IdBkpOLKmvd0RDYbg9Y2FBCL" TargetMode="External"/><Relationship Id="rId321" Type="http://schemas.openxmlformats.org/officeDocument/2006/relationships/hyperlink" Target="https://drive.google.com/open?id=1p0hPs2ZMrlvRBRZKGxExEXDYr3nfUArU" TargetMode="External"/><Relationship Id="rId342" Type="http://schemas.openxmlformats.org/officeDocument/2006/relationships/hyperlink" Target="https://drive.google.com/open?id=1ToEyDoxjMf1yelZuHl9yaBKZND0Aj-II" TargetMode="External"/><Relationship Id="rId202" Type="http://schemas.openxmlformats.org/officeDocument/2006/relationships/hyperlink" Target="https://drive.google.com/open?id=12R32jykJqBiD4m0faBR_OpTYqHj9_rQZ" TargetMode="External"/><Relationship Id="rId223" Type="http://schemas.openxmlformats.org/officeDocument/2006/relationships/hyperlink" Target="https://drive.google.com/open?id=1EORXXgMoGD2ksWmFZ6uEZdRBuK-q86ZM" TargetMode="External"/><Relationship Id="rId244" Type="http://schemas.openxmlformats.org/officeDocument/2006/relationships/hyperlink" Target="https://drive.google.com/open?id=1Jx7c-xy3yrB-tNW1KW48PT6Igv05XRcc" TargetMode="External"/><Relationship Id="rId18" Type="http://schemas.openxmlformats.org/officeDocument/2006/relationships/hyperlink" Target="https://drive.google.com/open?id=1It7OT318DG_LZqRV7iWKtdDjHNFHiyU1" TargetMode="External"/><Relationship Id="rId39" Type="http://schemas.openxmlformats.org/officeDocument/2006/relationships/hyperlink" Target="https://drive.google.com/open?id=16f7buRuzse6h1N2rq8eB0XgOWt4PlXcL" TargetMode="External"/><Relationship Id="rId265" Type="http://schemas.openxmlformats.org/officeDocument/2006/relationships/hyperlink" Target="https://drive.google.com/open?id=1J9k6K-KnxwOLWGxbS4LbE3Jq7FgpmwLS" TargetMode="External"/><Relationship Id="rId286" Type="http://schemas.openxmlformats.org/officeDocument/2006/relationships/hyperlink" Target="https://drive.google.com/open?id=1kijV_JenNIqI96qzpzVbwjbs4fkGEA6O" TargetMode="External"/><Relationship Id="rId50" Type="http://schemas.openxmlformats.org/officeDocument/2006/relationships/hyperlink" Target="https://drive.google.com/open?id=14GuTV1V9CXuN1Fv7U-1WFZNlZACcJyKz" TargetMode="External"/><Relationship Id="rId104" Type="http://schemas.openxmlformats.org/officeDocument/2006/relationships/hyperlink" Target="https://drive.google.com/open?id=1qVRJ5eFdQJv5aT4thGe172vSy8_OsVx3" TargetMode="External"/><Relationship Id="rId125" Type="http://schemas.openxmlformats.org/officeDocument/2006/relationships/hyperlink" Target="https://drive.google.com/open?id=17r462lgI_lxXHyENACs3WjZ2lMbR0qMC" TargetMode="External"/><Relationship Id="rId146" Type="http://schemas.openxmlformats.org/officeDocument/2006/relationships/hyperlink" Target="https://drive.google.com/open?id=10kMH1-huoFW2ku9jmvfp-N9G0uSpJdHl" TargetMode="External"/><Relationship Id="rId167" Type="http://schemas.openxmlformats.org/officeDocument/2006/relationships/hyperlink" Target="https://drive.google.com/open?id=1M5Y7lU7HzA-3P0tZhDXc7rt35RTW3kUs" TargetMode="External"/><Relationship Id="rId188" Type="http://schemas.openxmlformats.org/officeDocument/2006/relationships/hyperlink" Target="https://drive.google.com/open?id=13PR5kwLqAamzMzpLv6e_NaBBp4UXNRRC" TargetMode="External"/><Relationship Id="rId311" Type="http://schemas.openxmlformats.org/officeDocument/2006/relationships/hyperlink" Target="https://drive.google.com/open?id=1yWpbYEfhqLn5DPkg3DTykY78Zvmd8V2Q" TargetMode="External"/><Relationship Id="rId332" Type="http://schemas.openxmlformats.org/officeDocument/2006/relationships/hyperlink" Target="https://drive.google.com/open?id=1JuVlAA-5GOZwIxHRJmPfKe0aAkEzcR0i" TargetMode="External"/><Relationship Id="rId353" Type="http://schemas.openxmlformats.org/officeDocument/2006/relationships/hyperlink" Target="https://drive.google.com/open?id=1TKVy3fWUJ-7QUOLvlr6_1eUHQZa3N6fW" TargetMode="External"/><Relationship Id="rId71" Type="http://schemas.openxmlformats.org/officeDocument/2006/relationships/hyperlink" Target="https://drive.google.com/open?id=17tJYdxULiRdgylffauQoOAEqf3FLt-PH" TargetMode="External"/><Relationship Id="rId92" Type="http://schemas.openxmlformats.org/officeDocument/2006/relationships/hyperlink" Target="https://drive.google.com/open?id=1bwtnFvSb4u0oDZ8qXxfyMSslmSGK_UJ3" TargetMode="External"/><Relationship Id="rId213" Type="http://schemas.openxmlformats.org/officeDocument/2006/relationships/hyperlink" Target="https://drive.google.com/open?id=16UZVtIKHLsZYiMr_RGMkIaWywIb-tQsF" TargetMode="External"/><Relationship Id="rId234" Type="http://schemas.openxmlformats.org/officeDocument/2006/relationships/hyperlink" Target="https://drive.google.com/open?id=1ttNpl1akiFzEnI2GnWu3vls8BjmMML1b" TargetMode="External"/><Relationship Id="rId2" Type="http://schemas.openxmlformats.org/officeDocument/2006/relationships/hyperlink" Target="https://drive.google.com/open?id=1QLdsX_71ztMXMwqXfDv-SvajM5Q_LgbY" TargetMode="External"/><Relationship Id="rId29" Type="http://schemas.openxmlformats.org/officeDocument/2006/relationships/hyperlink" Target="https://drive.google.com/open?id=1_5eROFhLlmSSWK-Tq3thHlmDZPa875uX" TargetMode="External"/><Relationship Id="rId255" Type="http://schemas.openxmlformats.org/officeDocument/2006/relationships/hyperlink" Target="https://drive.google.com/open?id=1vkH6pKPHn2YjOg9KUpRjHPLtWx65Xjug" TargetMode="External"/><Relationship Id="rId276" Type="http://schemas.openxmlformats.org/officeDocument/2006/relationships/hyperlink" Target="https://drive.google.com/open?id=1H0rRVlVumARz4cdlTnYNASQQWVtdKjkY" TargetMode="External"/><Relationship Id="rId297" Type="http://schemas.openxmlformats.org/officeDocument/2006/relationships/hyperlink" Target="https://drive.google.com/open?id=14q82r0w9XaRh1zkmtZxkhuF2jWx8vlto" TargetMode="External"/><Relationship Id="rId40" Type="http://schemas.openxmlformats.org/officeDocument/2006/relationships/hyperlink" Target="https://drive.google.com/open?id=1x64YUyz3pWbsBykBu_NlAJBdDUzvOUPo" TargetMode="External"/><Relationship Id="rId115" Type="http://schemas.openxmlformats.org/officeDocument/2006/relationships/hyperlink" Target="https://drive.google.com/open?id=1_nEW1EPzW0ikFSxcjO4qBwzh8JHm7_q9" TargetMode="External"/><Relationship Id="rId136" Type="http://schemas.openxmlformats.org/officeDocument/2006/relationships/hyperlink" Target="https://drive.google.com/open?id=1Ir0uC_WyliOTaptFra00N6LG0i3bHTPn" TargetMode="External"/><Relationship Id="rId157" Type="http://schemas.openxmlformats.org/officeDocument/2006/relationships/hyperlink" Target="https://drive.google.com/open?id=1RWjeIJBt7OyZ8etQhQf7JZm-Wn44RSMK" TargetMode="External"/><Relationship Id="rId178" Type="http://schemas.openxmlformats.org/officeDocument/2006/relationships/hyperlink" Target="https://drive.google.com/open?id=1lSzA-KMVZohGgFy9m2w6erKDlZKG2CQo" TargetMode="External"/><Relationship Id="rId301" Type="http://schemas.openxmlformats.org/officeDocument/2006/relationships/hyperlink" Target="https://drive.google.com/open?id=1h9NzfDlzlQzzVnXxIUZqs8GtH5qo_JlO" TargetMode="External"/><Relationship Id="rId322" Type="http://schemas.openxmlformats.org/officeDocument/2006/relationships/hyperlink" Target="https://drive.google.com/open?id=1A_Ns-5-B9K5ye61IE9e8hmUQijmLDiBM" TargetMode="External"/><Relationship Id="rId343" Type="http://schemas.openxmlformats.org/officeDocument/2006/relationships/hyperlink" Target="https://drive.google.com/open?id=1FSfWm0X25TATTy7iDz0Gu-kFUoRcVRay" TargetMode="External"/><Relationship Id="rId61" Type="http://schemas.openxmlformats.org/officeDocument/2006/relationships/hyperlink" Target="https://drive.google.com/open?id=18VQQFND_MoAGlti3RtPHw611bVepKB7_" TargetMode="External"/><Relationship Id="rId82" Type="http://schemas.openxmlformats.org/officeDocument/2006/relationships/hyperlink" Target="https://drive.google.com/open?id=1ESpa5QVc-_cllohqEGYEGkWc3D07ZT19" TargetMode="External"/><Relationship Id="rId199" Type="http://schemas.openxmlformats.org/officeDocument/2006/relationships/hyperlink" Target="https://drive.google.com/open?id=1Eso-cJ1mq849-uLwa1fhdlPPH23gYdeT" TargetMode="External"/><Relationship Id="rId203" Type="http://schemas.openxmlformats.org/officeDocument/2006/relationships/hyperlink" Target="https://drive.google.com/open?id=1XzSsJRbv4bcd4cplm1yv4BLpzJcm1urj" TargetMode="External"/><Relationship Id="rId19" Type="http://schemas.openxmlformats.org/officeDocument/2006/relationships/hyperlink" Target="https://drive.google.com/open?id=17_4ZVKYeoxBJ5JF-jdJHkIh7AnrQRdMs" TargetMode="External"/><Relationship Id="rId224" Type="http://schemas.openxmlformats.org/officeDocument/2006/relationships/hyperlink" Target="https://drive.google.com/open?id=1YRPr_LvOyWVrwEJMMBNTepOmwGduyg3Q" TargetMode="External"/><Relationship Id="rId245" Type="http://schemas.openxmlformats.org/officeDocument/2006/relationships/hyperlink" Target="https://drive.google.com/open?id=1Z64f4LXv7TnYJeSb0wlboHTpweuAH58x" TargetMode="External"/><Relationship Id="rId266" Type="http://schemas.openxmlformats.org/officeDocument/2006/relationships/hyperlink" Target="https://drive.google.com/open?id=1zMWiXaFHStsxTVntTjLl1vgWw4xeZICG" TargetMode="External"/><Relationship Id="rId287" Type="http://schemas.openxmlformats.org/officeDocument/2006/relationships/hyperlink" Target="https://drive.google.com/open?id=1dSFUu2K4X965P4qJFk5uZ8XnZ66t5qEH" TargetMode="External"/><Relationship Id="rId30" Type="http://schemas.openxmlformats.org/officeDocument/2006/relationships/hyperlink" Target="https://drive.google.com/open?id=1QgBST7rSJIM96v1j1R2KS0bmU7Dr8XdN" TargetMode="External"/><Relationship Id="rId105" Type="http://schemas.openxmlformats.org/officeDocument/2006/relationships/hyperlink" Target="https://drive.google.com/open?id=1golEQb-IIS9X5zaw0O9UtCe9bsuQoQrx" TargetMode="External"/><Relationship Id="rId126" Type="http://schemas.openxmlformats.org/officeDocument/2006/relationships/hyperlink" Target="https://drive.google.com/open?id=1qKVX9A1XlsLG3R_aXw9dikuy6pqva2F8" TargetMode="External"/><Relationship Id="rId147" Type="http://schemas.openxmlformats.org/officeDocument/2006/relationships/hyperlink" Target="https://drive.google.com/open?id=1xHYdlbA3zdHKn3Zm5iuvesSEsXoUu_Z5" TargetMode="External"/><Relationship Id="rId168" Type="http://schemas.openxmlformats.org/officeDocument/2006/relationships/hyperlink" Target="https://drive.google.com/open?id=16l125zkikBgh5Axo9O68WuP6SbeOnG3W" TargetMode="External"/><Relationship Id="rId312" Type="http://schemas.openxmlformats.org/officeDocument/2006/relationships/hyperlink" Target="https://drive.google.com/open?id=1nCVV7HVUrHCKvVTTWbEO5iGcR2RnLNw4" TargetMode="External"/><Relationship Id="rId333" Type="http://schemas.openxmlformats.org/officeDocument/2006/relationships/hyperlink" Target="https://drive.google.com/open?id=1OlJoDRE5j9eVirPhijdRh7dLCPeWssaP" TargetMode="External"/><Relationship Id="rId354" Type="http://schemas.openxmlformats.org/officeDocument/2006/relationships/hyperlink" Target="https://drive.google.com/open?id=1RzngXgVRWdhWwhq0EI4YWKKyOK-1ir5a" TargetMode="External"/><Relationship Id="rId51" Type="http://schemas.openxmlformats.org/officeDocument/2006/relationships/hyperlink" Target="https://drive.google.com/open?id=1LhveeHEGUf9QHwE9_bKTYKlf82tPBhZs" TargetMode="External"/><Relationship Id="rId72" Type="http://schemas.openxmlformats.org/officeDocument/2006/relationships/hyperlink" Target="https://drive.google.com/open?id=1UZAIEt_5-RMXqRC0-rjQtV6znJRQnxu1" TargetMode="External"/><Relationship Id="rId93" Type="http://schemas.openxmlformats.org/officeDocument/2006/relationships/hyperlink" Target="https://drive.google.com/open?id=1mnYwfYiZdBudttaAD6SIz6QC4wZR-pRS" TargetMode="External"/><Relationship Id="rId189" Type="http://schemas.openxmlformats.org/officeDocument/2006/relationships/hyperlink" Target="https://drive.google.com/open?id=1khi2RE_ZlkjvLnYZ3bF430QeVtU_9Zs2" TargetMode="External"/><Relationship Id="rId3" Type="http://schemas.openxmlformats.org/officeDocument/2006/relationships/hyperlink" Target="https://drive.google.com/open?id=1KBuADajmpyb_3TZ1Rf3Imdgr8mucqOVv" TargetMode="External"/><Relationship Id="rId214" Type="http://schemas.openxmlformats.org/officeDocument/2006/relationships/hyperlink" Target="https://drive.google.com/open?id=100tHCL68xakdIWR-87sqLMRrW0bR9hV9" TargetMode="External"/><Relationship Id="rId235" Type="http://schemas.openxmlformats.org/officeDocument/2006/relationships/hyperlink" Target="https://drive.google.com/open?id=1YIhYXKss3DTLBM7UU_yYqLdpzRhLpOOr" TargetMode="External"/><Relationship Id="rId256" Type="http://schemas.openxmlformats.org/officeDocument/2006/relationships/hyperlink" Target="https://drive.google.com/open?id=1ABFAxWExemoNzNHx1L-83Si0YxcSHkAQ" TargetMode="External"/><Relationship Id="rId277" Type="http://schemas.openxmlformats.org/officeDocument/2006/relationships/hyperlink" Target="https://drive.google.com/open?id=10dcQ-bMCI-3SQunJ1k8GElPmfDVmZFtD" TargetMode="External"/><Relationship Id="rId298" Type="http://schemas.openxmlformats.org/officeDocument/2006/relationships/hyperlink" Target="https://drive.google.com/open?id=1DWDf--FfzKXf1NU-AcVhZMMrDf0Qi2al" TargetMode="External"/><Relationship Id="rId116" Type="http://schemas.openxmlformats.org/officeDocument/2006/relationships/hyperlink" Target="https://drive.google.com/open?id=16b8lugrZLhfRzNpl06x8SuktD5xJ_SkP" TargetMode="External"/><Relationship Id="rId137" Type="http://schemas.openxmlformats.org/officeDocument/2006/relationships/hyperlink" Target="https://drive.google.com/open?id=1ZpVBodUkOwtI9oIdY_eA1sm9ckpxLmw8" TargetMode="External"/><Relationship Id="rId158" Type="http://schemas.openxmlformats.org/officeDocument/2006/relationships/hyperlink" Target="https://drive.google.com/open?id=1G2R4RM4c1pU-Wibx7BEsKvczn5N3m1jz" TargetMode="External"/><Relationship Id="rId302" Type="http://schemas.openxmlformats.org/officeDocument/2006/relationships/hyperlink" Target="https://drive.google.com/open?id=19pg5HFNqBNUNffeL4Ra9X2UBnGkdt89G" TargetMode="External"/><Relationship Id="rId323" Type="http://schemas.openxmlformats.org/officeDocument/2006/relationships/hyperlink" Target="https://drive.google.com/open?id=1Gq0L5O4i15tDQVWc4VxPzQi74pr1eRsB" TargetMode="External"/><Relationship Id="rId344" Type="http://schemas.openxmlformats.org/officeDocument/2006/relationships/hyperlink" Target="https://drive.google.com/open?id=1woo42hCr3MygT86WwNDdVVQnZGE1ox0R" TargetMode="External"/><Relationship Id="rId20" Type="http://schemas.openxmlformats.org/officeDocument/2006/relationships/hyperlink" Target="https://drive.google.com/open?id=1Ikaz7WU-GlOrkDFDi11pBka_YcsCK2LA" TargetMode="External"/><Relationship Id="rId41" Type="http://schemas.openxmlformats.org/officeDocument/2006/relationships/hyperlink" Target="https://drive.google.com/open?id=1hjf7msXaEJqYWjcXSUp04PvrmqHWXQhv" TargetMode="External"/><Relationship Id="rId62" Type="http://schemas.openxmlformats.org/officeDocument/2006/relationships/hyperlink" Target="https://drive.google.com/open?id=1Ucy8NZegdf4_N5zP9IrD3_FqqzsQPEiY" TargetMode="External"/><Relationship Id="rId83" Type="http://schemas.openxmlformats.org/officeDocument/2006/relationships/hyperlink" Target="https://drive.google.com/open?id=1nNKtz6ze3ruXgD1JOLBBFpkvoBQUo7W0" TargetMode="External"/><Relationship Id="rId179" Type="http://schemas.openxmlformats.org/officeDocument/2006/relationships/hyperlink" Target="https://drive.google.com/open?id=1iHo5Gxb4LiNBP84y86TAUiTucP-3ebbA" TargetMode="External"/><Relationship Id="rId190" Type="http://schemas.openxmlformats.org/officeDocument/2006/relationships/hyperlink" Target="https://drive.google.com/open?id=1WSL2MzUi_XDUp_LmOw5h1vs7sKGp9QRg" TargetMode="External"/><Relationship Id="rId204" Type="http://schemas.openxmlformats.org/officeDocument/2006/relationships/hyperlink" Target="https://drive.google.com/open?id=1UEeSDLngzjgeblR7QWiK_rcceivfMa_0" TargetMode="External"/><Relationship Id="rId225" Type="http://schemas.openxmlformats.org/officeDocument/2006/relationships/hyperlink" Target="https://drive.google.com/open?id=1M3oJ58HEiRW59r0ebae2uh_b-h1CBxOY" TargetMode="External"/><Relationship Id="rId246" Type="http://schemas.openxmlformats.org/officeDocument/2006/relationships/hyperlink" Target="https://drive.google.com/open?id=1jKahi0tDllI1agFgno1VGXiClemvGKN3" TargetMode="External"/><Relationship Id="rId267" Type="http://schemas.openxmlformats.org/officeDocument/2006/relationships/hyperlink" Target="https://drive.google.com/open?id=1W6zAak_aVTNT3b_xPANllJHzcUnA3PXd" TargetMode="External"/><Relationship Id="rId288" Type="http://schemas.openxmlformats.org/officeDocument/2006/relationships/hyperlink" Target="https://drive.google.com/open?id=1Xh65RoIo1ZA0BW48gnlVOqk8BY5p0m6V" TargetMode="External"/><Relationship Id="rId106" Type="http://schemas.openxmlformats.org/officeDocument/2006/relationships/hyperlink" Target="https://drive.google.com/open?id=19UoPYvmSnNb91SiE5JkTZrs4LqezB7KM" TargetMode="External"/><Relationship Id="rId127" Type="http://schemas.openxmlformats.org/officeDocument/2006/relationships/hyperlink" Target="https://drive.google.com/open?id=1VdghJZqJ2MeZ1ygL5JNsUATyGQdTcHGg" TargetMode="External"/><Relationship Id="rId313" Type="http://schemas.openxmlformats.org/officeDocument/2006/relationships/hyperlink" Target="https://drive.google.com/open?id=1Ku6Vdu97OYacvMlhQwF_D0ZmCCfHwonP" TargetMode="External"/><Relationship Id="rId10" Type="http://schemas.openxmlformats.org/officeDocument/2006/relationships/hyperlink" Target="https://drive.google.com/open?id=1luaa7PJRTnW-9uTZQRB-qNHabWATCmux" TargetMode="External"/><Relationship Id="rId31" Type="http://schemas.openxmlformats.org/officeDocument/2006/relationships/hyperlink" Target="https://drive.google.com/open?id=11DFsO0a3OnN3TLrCA36bSN6naIjcUmCd" TargetMode="External"/><Relationship Id="rId52" Type="http://schemas.openxmlformats.org/officeDocument/2006/relationships/hyperlink" Target="https://drive.google.com/open?id=1fcYILU6KE61dNhTnYSqFiFSFWuTr7e1n" TargetMode="External"/><Relationship Id="rId73" Type="http://schemas.openxmlformats.org/officeDocument/2006/relationships/hyperlink" Target="https://drive.google.com/open?id=1FdlucvjT88rOWNtxcbHTeUug6iTg3jo7" TargetMode="External"/><Relationship Id="rId94" Type="http://schemas.openxmlformats.org/officeDocument/2006/relationships/hyperlink" Target="https://drive.google.com/open?id=1zHWKYx8TK80m9b3UV_huomU7c-7RgTnj" TargetMode="External"/><Relationship Id="rId148" Type="http://schemas.openxmlformats.org/officeDocument/2006/relationships/hyperlink" Target="https://drive.google.com/open?id=1_J8-l53MXWb3aqFIPrOMOf7EWlULwab5" TargetMode="External"/><Relationship Id="rId169" Type="http://schemas.openxmlformats.org/officeDocument/2006/relationships/hyperlink" Target="https://drive.google.com/open?id=1oFlXO2s-HZExjsRm0HDr9nK3oRbdHykx" TargetMode="External"/><Relationship Id="rId334" Type="http://schemas.openxmlformats.org/officeDocument/2006/relationships/hyperlink" Target="https://drive.google.com/open?id=1szaWPyNlxzBWtZubsgZDkrKwEek4JOu4" TargetMode="External"/><Relationship Id="rId355" Type="http://schemas.openxmlformats.org/officeDocument/2006/relationships/hyperlink" Target="https://drive.google.com/open?id=1ppg0Okh0XlgqDlJ4ApNVpx5PzP-qZq6I" TargetMode="External"/><Relationship Id="rId4" Type="http://schemas.openxmlformats.org/officeDocument/2006/relationships/hyperlink" Target="https://drive.google.com/open?id=13KWCtscb5l3xda3y_ycEnXLaG-MVneHN" TargetMode="External"/><Relationship Id="rId180" Type="http://schemas.openxmlformats.org/officeDocument/2006/relationships/hyperlink" Target="https://drive.google.com/open?id=15ug1JDNiotIZ9dX6YwrsWww5Isxt4ggM" TargetMode="External"/><Relationship Id="rId215" Type="http://schemas.openxmlformats.org/officeDocument/2006/relationships/hyperlink" Target="https://drive.google.com/open?id=1ZdQ2F1CEIC949eMxv7EzA4ku9ccMNptV" TargetMode="External"/><Relationship Id="rId236" Type="http://schemas.openxmlformats.org/officeDocument/2006/relationships/hyperlink" Target="https://drive.google.com/open?id=1fBfes7naKqkUvESEA9u9O9ki7FU1KiFS" TargetMode="External"/><Relationship Id="rId257" Type="http://schemas.openxmlformats.org/officeDocument/2006/relationships/hyperlink" Target="https://drive.google.com/open?id=1lApoK8jNaXREuPJlYkZWGm6q9Ng0pNg9" TargetMode="External"/><Relationship Id="rId278" Type="http://schemas.openxmlformats.org/officeDocument/2006/relationships/hyperlink" Target="https://drive.google.com/open?id=1vhsIfr8SKpCjL_FcZZpFn246XgZ7jhdp" TargetMode="External"/><Relationship Id="rId303" Type="http://schemas.openxmlformats.org/officeDocument/2006/relationships/hyperlink" Target="https://drive.google.com/open?id=1I9xQXkJr8mLQYPn74lNTpFmAZ73QmTvA" TargetMode="External"/><Relationship Id="rId42" Type="http://schemas.openxmlformats.org/officeDocument/2006/relationships/hyperlink" Target="https://drive.google.com/open?id=1bvnUrAt1we3C2a36mzo9NV7zREVe7elJ" TargetMode="External"/><Relationship Id="rId84" Type="http://schemas.openxmlformats.org/officeDocument/2006/relationships/hyperlink" Target="https://drive.google.com/open?id=1F6M_EBBhB2Y3QGPHiUVNtRHlyLcSmfFJ" TargetMode="External"/><Relationship Id="rId138" Type="http://schemas.openxmlformats.org/officeDocument/2006/relationships/hyperlink" Target="https://drive.google.com/open?id=1sXbcID6aetHNDAe2-pHsAvAEH72teG7L" TargetMode="External"/><Relationship Id="rId345" Type="http://schemas.openxmlformats.org/officeDocument/2006/relationships/hyperlink" Target="https://drive.google.com/open?id=1-JTuwyhX_b-BNYgg60OsX0SLk36CF5J2" TargetMode="External"/><Relationship Id="rId191" Type="http://schemas.openxmlformats.org/officeDocument/2006/relationships/hyperlink" Target="https://drive.google.com/open?id=1CAHEO2MCi5uiXWhUdIoU6k0RJwxOqRd5" TargetMode="External"/><Relationship Id="rId205" Type="http://schemas.openxmlformats.org/officeDocument/2006/relationships/hyperlink" Target="https://drive.google.com/open?id=1zew79oRBeQuEndccSEanNeAtkKj719C7" TargetMode="External"/><Relationship Id="rId247" Type="http://schemas.openxmlformats.org/officeDocument/2006/relationships/hyperlink" Target="https://drive.google.com/open?id=1P8kKRAtZi21GS_PzerMFu7uqiL6vnqKE" TargetMode="External"/><Relationship Id="rId107" Type="http://schemas.openxmlformats.org/officeDocument/2006/relationships/hyperlink" Target="https://drive.google.com/open?id=17wcF50QP2QrMBfaDc5IOW8rEKoJsv7od" TargetMode="External"/><Relationship Id="rId289" Type="http://schemas.openxmlformats.org/officeDocument/2006/relationships/hyperlink" Target="https://drive.google.com/open?id=1WMhIUM1_WdOjcD4eFCkWWrn405ASXAAw" TargetMode="External"/><Relationship Id="rId11" Type="http://schemas.openxmlformats.org/officeDocument/2006/relationships/hyperlink" Target="https://drive.google.com/open?id=1e36O1qS4lp9r1bqCqyQLdxIYrp8NpiwN" TargetMode="External"/><Relationship Id="rId53" Type="http://schemas.openxmlformats.org/officeDocument/2006/relationships/hyperlink" Target="https://drive.google.com/open?id=1rvMNCoDuP_g6LdCVbBosXZVoWkzQWApY" TargetMode="External"/><Relationship Id="rId149" Type="http://schemas.openxmlformats.org/officeDocument/2006/relationships/hyperlink" Target="https://drive.google.com/open?id=1Yvd81boW5AOHl5jmrLQkyl-LkchKw453" TargetMode="External"/><Relationship Id="rId314" Type="http://schemas.openxmlformats.org/officeDocument/2006/relationships/hyperlink" Target="https://drive.google.com/open?id=1cWCqNp2SGmakrRoVa0mAIAYBLYWp5Rc3" TargetMode="External"/><Relationship Id="rId356" Type="http://schemas.openxmlformats.org/officeDocument/2006/relationships/hyperlink" Target="https://drive.google.com/open?id=10horRg0oe-Q8b70iP4GXuolMgqbWeFPq" TargetMode="External"/><Relationship Id="rId95" Type="http://schemas.openxmlformats.org/officeDocument/2006/relationships/hyperlink" Target="https://drive.google.com/open?id=1cf9CGwrxo4Jv8OXnVSSl7vPxuel6CgWk" TargetMode="External"/><Relationship Id="rId160" Type="http://schemas.openxmlformats.org/officeDocument/2006/relationships/hyperlink" Target="https://drive.google.com/open?id=1EK5PvR5ZQVxmWCBnjdMrDlSo_gIXHgQr" TargetMode="External"/><Relationship Id="rId216" Type="http://schemas.openxmlformats.org/officeDocument/2006/relationships/hyperlink" Target="https://drive.google.com/open?id=1tpLbE8coL8M72n5nRMvsqcYm8T3UUD3W" TargetMode="External"/><Relationship Id="rId258" Type="http://schemas.openxmlformats.org/officeDocument/2006/relationships/hyperlink" Target="https://drive.google.com/open?id=1Li27QyO16Iu8qSMbRSlLH_cLaw0rFo2G" TargetMode="External"/><Relationship Id="rId22" Type="http://schemas.openxmlformats.org/officeDocument/2006/relationships/hyperlink" Target="https://drive.google.com/open?id=1Bv_JSa1sR4VSmeqewabOH78wqwhoohLS" TargetMode="External"/><Relationship Id="rId64" Type="http://schemas.openxmlformats.org/officeDocument/2006/relationships/hyperlink" Target="https://drive.google.com/open?id=1tC3XKGvV9XI4NCgRAY8w88H24b6ZM1vD" TargetMode="External"/><Relationship Id="rId118" Type="http://schemas.openxmlformats.org/officeDocument/2006/relationships/hyperlink" Target="https://drive.google.com/open?id=17fSzRayoOndY98CmxB_xHSabToM6bYkc" TargetMode="External"/><Relationship Id="rId325" Type="http://schemas.openxmlformats.org/officeDocument/2006/relationships/hyperlink" Target="https://drive.google.com/open?id=1cRLRDbEthT58lWGl7J2PwctRU7SgWVdr" TargetMode="External"/><Relationship Id="rId171" Type="http://schemas.openxmlformats.org/officeDocument/2006/relationships/hyperlink" Target="https://drive.google.com/open?id=18H1_-OPvQkbuHKPclBITFFYRlst7U7xN" TargetMode="External"/><Relationship Id="rId227" Type="http://schemas.openxmlformats.org/officeDocument/2006/relationships/hyperlink" Target="https://drive.google.com/open?id=1cMurkwHi8ZuXqjF8XDmMLQ6-JcNoNdqp" TargetMode="External"/><Relationship Id="rId269" Type="http://schemas.openxmlformats.org/officeDocument/2006/relationships/hyperlink" Target="https://drive.google.com/open?id=1-mDUTmGhdphhek_-IyC_WyongZiuxebX" TargetMode="External"/><Relationship Id="rId33" Type="http://schemas.openxmlformats.org/officeDocument/2006/relationships/hyperlink" Target="https://drive.google.com/open?id=1Ns7TeXFEr79C2EFLoBTMxsKf_hCXv-Td" TargetMode="External"/><Relationship Id="rId129" Type="http://schemas.openxmlformats.org/officeDocument/2006/relationships/hyperlink" Target="https://drive.google.com/open?id=1QPz-NOfDjuB2iFqxbXg22bChSJE3ZxUr" TargetMode="External"/><Relationship Id="rId280" Type="http://schemas.openxmlformats.org/officeDocument/2006/relationships/hyperlink" Target="https://drive.google.com/open?id=1dJWYXnZmdX-h-s3OaXaSrcGDCl-rQwi_" TargetMode="External"/><Relationship Id="rId336" Type="http://schemas.openxmlformats.org/officeDocument/2006/relationships/hyperlink" Target="https://drive.google.com/open?id=1FxOs9ZJmJjH8f5ftyEaZ2RozWnKvrnUN" TargetMode="External"/><Relationship Id="rId75" Type="http://schemas.openxmlformats.org/officeDocument/2006/relationships/hyperlink" Target="https://drive.google.com/open?id=1hUdsUtkBTELzPGH6wPpw5LkAKzirwR_2" TargetMode="External"/><Relationship Id="rId140" Type="http://schemas.openxmlformats.org/officeDocument/2006/relationships/hyperlink" Target="https://drive.google.com/open?id=1_Yh2aLQFHwa5KIqyN-4WXGERVXunqIt5" TargetMode="External"/><Relationship Id="rId182" Type="http://schemas.openxmlformats.org/officeDocument/2006/relationships/hyperlink" Target="https://drive.google.com/open?id=13DoYkbaQgjs3-qCCmjsiSBhhM1NYlf5t" TargetMode="External"/><Relationship Id="rId6" Type="http://schemas.openxmlformats.org/officeDocument/2006/relationships/hyperlink" Target="https://drive.google.com/open?id=1q8p0kq6--rLojGyukFHtlnBxIh_uYzlm" TargetMode="External"/><Relationship Id="rId238" Type="http://schemas.openxmlformats.org/officeDocument/2006/relationships/hyperlink" Target="https://drive.google.com/open?id=10rBnXyWvFmAJlH8ka0B-oCJpWvqd00-T" TargetMode="External"/><Relationship Id="rId291" Type="http://schemas.openxmlformats.org/officeDocument/2006/relationships/hyperlink" Target="https://drive.google.com/open?id=1z2EfbR3vXj_TxwcUkxd2VBzFpXXpG0sC" TargetMode="External"/><Relationship Id="rId305" Type="http://schemas.openxmlformats.org/officeDocument/2006/relationships/hyperlink" Target="https://drive.google.com/open?id=1GWGQ70MMnm6XFaPBdFQAXU5XyWyQzGwQ" TargetMode="External"/><Relationship Id="rId347" Type="http://schemas.openxmlformats.org/officeDocument/2006/relationships/hyperlink" Target="https://drive.google.com/open?id=16snTlsJZWCDwc_RuaVGTxu0KRFvM47Eu" TargetMode="External"/><Relationship Id="rId44" Type="http://schemas.openxmlformats.org/officeDocument/2006/relationships/hyperlink" Target="https://drive.google.com/open?id=1TNkyOO74FD6t92bnzugUnfQtbIDmepoq" TargetMode="External"/><Relationship Id="rId86" Type="http://schemas.openxmlformats.org/officeDocument/2006/relationships/hyperlink" Target="https://drive.google.com/open?id=1cQzPeeaKP4QL8FUwO15nfUHaa_TpyYHx" TargetMode="External"/><Relationship Id="rId151" Type="http://schemas.openxmlformats.org/officeDocument/2006/relationships/hyperlink" Target="https://drive.google.com/open?id=1up04_srOY2QDRSHuyZWVITItLe-zD5Po" TargetMode="External"/><Relationship Id="rId193" Type="http://schemas.openxmlformats.org/officeDocument/2006/relationships/hyperlink" Target="https://drive.google.com/open?id=1FwxhmotTzpTl48AO7qJAiW6KauUfEHwm" TargetMode="External"/><Relationship Id="rId207" Type="http://schemas.openxmlformats.org/officeDocument/2006/relationships/hyperlink" Target="https://drive.google.com/open?id=1k9bs8I7AauGmfoOE14q8vRgCdBFcRfv6" TargetMode="External"/><Relationship Id="rId249" Type="http://schemas.openxmlformats.org/officeDocument/2006/relationships/hyperlink" Target="https://drive.google.com/open?id=1HaRzkyyphL5RboxgdkboM7ZufG0PbeSA" TargetMode="External"/><Relationship Id="rId13" Type="http://schemas.openxmlformats.org/officeDocument/2006/relationships/hyperlink" Target="https://drive.google.com/open?id=1nS_6PTMyJPq72rS8Hperz-REC6cihavM" TargetMode="External"/><Relationship Id="rId109" Type="http://schemas.openxmlformats.org/officeDocument/2006/relationships/hyperlink" Target="https://drive.google.com/open?id=1C7mNXnrJ2nYKaOuXE_ASOnzjxPW0LyQH" TargetMode="External"/><Relationship Id="rId260" Type="http://schemas.openxmlformats.org/officeDocument/2006/relationships/hyperlink" Target="https://drive.google.com/open?id=1d92hY3qW6JQXpxTAVhXxP-iCLkr3W5O2" TargetMode="External"/><Relationship Id="rId316" Type="http://schemas.openxmlformats.org/officeDocument/2006/relationships/hyperlink" Target="https://drive.google.com/open?id=1eI6qa39AaVHr6bII1P-CQ75hheHdusmr" TargetMode="External"/><Relationship Id="rId55" Type="http://schemas.openxmlformats.org/officeDocument/2006/relationships/hyperlink" Target="https://drive.google.com/open?id=1D1jQFhKDcMpqC4AmF0QMTg8KPthEiWyQ" TargetMode="External"/><Relationship Id="rId97" Type="http://schemas.openxmlformats.org/officeDocument/2006/relationships/hyperlink" Target="https://drive.google.com/open?id=1POFTG12Uu5Roig49tKw6Ug878TyEZg0n" TargetMode="External"/><Relationship Id="rId120" Type="http://schemas.openxmlformats.org/officeDocument/2006/relationships/hyperlink" Target="https://drive.google.com/open?id=1HoCi1Og_N4CTs0qevwsYSLyTAj2D-lG7" TargetMode="External"/><Relationship Id="rId358" Type="http://schemas.openxmlformats.org/officeDocument/2006/relationships/hyperlink" Target="https://drive.google.com/open?id=1kPbgB261HCfoJUKcBlrlPN4Jk3Tv7bNM" TargetMode="External"/><Relationship Id="rId162" Type="http://schemas.openxmlformats.org/officeDocument/2006/relationships/hyperlink" Target="https://drive.google.com/open?id=1mNmkajQvqKjGsU_LyVBFTlpnNBx1vnzx" TargetMode="External"/><Relationship Id="rId218" Type="http://schemas.openxmlformats.org/officeDocument/2006/relationships/hyperlink" Target="https://drive.google.com/open?id=1xCvkIMIuEpWGbYcfMZiuZlvV9slwqJoi" TargetMode="External"/><Relationship Id="rId271" Type="http://schemas.openxmlformats.org/officeDocument/2006/relationships/hyperlink" Target="https://drive.google.com/open?id=1R7AEpizJOWYoDGRVST3gaQDALYKVnm0Z" TargetMode="External"/><Relationship Id="rId24" Type="http://schemas.openxmlformats.org/officeDocument/2006/relationships/hyperlink" Target="https://drive.google.com/open?id=1wCMUd0sBj2nYxePXpfjNJG7MDFHbPbe2" TargetMode="External"/><Relationship Id="rId66" Type="http://schemas.openxmlformats.org/officeDocument/2006/relationships/hyperlink" Target="https://drive.google.com/open?id=1jzjhJnd8UNlqwO3VdN7sYdU_Dk1dPMxf" TargetMode="External"/><Relationship Id="rId131" Type="http://schemas.openxmlformats.org/officeDocument/2006/relationships/hyperlink" Target="https://drive.google.com/open?id=10R_f38D1jqc_6rz0y07oT1MCPsQHeFZQ" TargetMode="External"/><Relationship Id="rId327" Type="http://schemas.openxmlformats.org/officeDocument/2006/relationships/hyperlink" Target="https://drive.google.com/open?id=1log8DuDltDgUc0Iebzaed07ZBmyJt8-q" TargetMode="External"/><Relationship Id="rId173" Type="http://schemas.openxmlformats.org/officeDocument/2006/relationships/hyperlink" Target="https://drive.google.com/open?id=1mWkg90qB8CSpHtdFV1uTBbezre2lmHXL" TargetMode="External"/><Relationship Id="rId229" Type="http://schemas.openxmlformats.org/officeDocument/2006/relationships/hyperlink" Target="https://drive.google.com/open?id=1AIWQGmEX55_HCHZU4wgqG-BS-u3jlyk0" TargetMode="External"/><Relationship Id="rId240" Type="http://schemas.openxmlformats.org/officeDocument/2006/relationships/hyperlink" Target="https://drive.google.com/open?id=1Dnxm3GaN4UufdGbJcZadkhBE0LXEz44Z" TargetMode="External"/><Relationship Id="rId35" Type="http://schemas.openxmlformats.org/officeDocument/2006/relationships/hyperlink" Target="https://drive.google.com/open?id=1LjvGvdBMGaW9lQ4_AOzGOHZXjxv9MCdw" TargetMode="External"/><Relationship Id="rId77" Type="http://schemas.openxmlformats.org/officeDocument/2006/relationships/hyperlink" Target="https://drive.google.com/open?id=10C3wRqyxqNEUH5UBO5ifXw6HcUcFvCGQ" TargetMode="External"/><Relationship Id="rId100" Type="http://schemas.openxmlformats.org/officeDocument/2006/relationships/hyperlink" Target="https://drive.google.com/open?id=1ECkS5e5x4qAMM9rZPTUjd1c0Qgl4SDD1" TargetMode="External"/><Relationship Id="rId282" Type="http://schemas.openxmlformats.org/officeDocument/2006/relationships/hyperlink" Target="https://drive.google.com/open?id=19HCuT4oOg1vPVYo5Gr1_Nf4M6k0VTaAr" TargetMode="External"/><Relationship Id="rId338" Type="http://schemas.openxmlformats.org/officeDocument/2006/relationships/hyperlink" Target="https://drive.google.com/open?id=1VnMr_zX4UW02_pBirmGrE577E_Hzt-4Z" TargetMode="External"/><Relationship Id="rId8" Type="http://schemas.openxmlformats.org/officeDocument/2006/relationships/hyperlink" Target="https://drive.google.com/open?id=1cML2vneqKqCxJcKlX8-9dkiV493WifW2" TargetMode="External"/><Relationship Id="rId142" Type="http://schemas.openxmlformats.org/officeDocument/2006/relationships/hyperlink" Target="https://drive.google.com/open?id=1ZZRZeFqc-m0nSLTkNgtifOUpwBRsw937" TargetMode="External"/><Relationship Id="rId184" Type="http://schemas.openxmlformats.org/officeDocument/2006/relationships/hyperlink" Target="https://drive.google.com/open?id=1_luzGS3-SXpQRVeQyMV4RdyT70Wk8JG5" TargetMode="External"/><Relationship Id="rId251" Type="http://schemas.openxmlformats.org/officeDocument/2006/relationships/hyperlink" Target="https://drive.google.com/open?id=1km955vmVnX861ORBou6hFZUcJnpBi4sw" TargetMode="External"/><Relationship Id="rId46" Type="http://schemas.openxmlformats.org/officeDocument/2006/relationships/hyperlink" Target="https://drive.google.com/open?id=1o-zI0ivPziP5oJsL-GLwJsI0AxBq7-x_" TargetMode="External"/><Relationship Id="rId293" Type="http://schemas.openxmlformats.org/officeDocument/2006/relationships/hyperlink" Target="https://drive.google.com/open?id=1WaCsf-rkZL36RsbseJxTk9s9QW1rqUzR" TargetMode="External"/><Relationship Id="rId307" Type="http://schemas.openxmlformats.org/officeDocument/2006/relationships/hyperlink" Target="https://drive.google.com/open?id=1WwccifVnCaE09v3BTUCqiExwNvZhUHHd" TargetMode="External"/><Relationship Id="rId349" Type="http://schemas.openxmlformats.org/officeDocument/2006/relationships/hyperlink" Target="https://drive.google.com/open?id=1gdcz7Lxp-lFl5pHF8NW38YHYfA2VEZp2"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open?id=18gLzH-dsMzElK9lbbjq_QWpzY8qx53sV" TargetMode="External"/><Relationship Id="rId21" Type="http://schemas.openxmlformats.org/officeDocument/2006/relationships/hyperlink" Target="https://drive.google.com/open?id=1wCMUd0sBj2nYxePXpfjNJG7MDFHbPbe2" TargetMode="External"/><Relationship Id="rId42" Type="http://schemas.openxmlformats.org/officeDocument/2006/relationships/hyperlink" Target="https://drive.google.com/open?id=1bwkt3zdV8pKCCNHSxvRucNEu6tnRR4wx" TargetMode="External"/><Relationship Id="rId47" Type="http://schemas.openxmlformats.org/officeDocument/2006/relationships/hyperlink" Target="https://drive.google.com/open?id=11YE6dJNQ69RUfkLRpBK5h2O98BXNhO50" TargetMode="External"/><Relationship Id="rId63" Type="http://schemas.openxmlformats.org/officeDocument/2006/relationships/hyperlink" Target="https://drive.google.com/open?id=1H3IbgTW3nX9yKvNYYQmrfHqz-6RspmQl" TargetMode="External"/><Relationship Id="rId68" Type="http://schemas.openxmlformats.org/officeDocument/2006/relationships/hyperlink" Target="https://drive.google.com/open?id=17tJYdxULiRdgylffauQoOAEqf3FLt-PH" TargetMode="External"/><Relationship Id="rId84" Type="http://schemas.openxmlformats.org/officeDocument/2006/relationships/hyperlink" Target="https://drive.google.com/open?id=1HvTjeukZKBjdBaB26pqXGzy3k1LIL-WS" TargetMode="External"/><Relationship Id="rId89" Type="http://schemas.openxmlformats.org/officeDocument/2006/relationships/hyperlink" Target="https://drive.google.com/open?id=1KPbvBetB6wiNU-05LvhPKSyAgxM_0wwt" TargetMode="External"/><Relationship Id="rId16" Type="http://schemas.openxmlformats.org/officeDocument/2006/relationships/hyperlink" Target="https://drive.google.com/open?id=17_4ZVKYeoxBJ5JF-jdJHkIh7AnrQRdMs" TargetMode="External"/><Relationship Id="rId11" Type="http://schemas.openxmlformats.org/officeDocument/2006/relationships/hyperlink" Target="https://drive.google.com/open?id=1e36O1qS4lp9r1bqCqyQLdxIYrp8NpiwN" TargetMode="External"/><Relationship Id="rId32" Type="http://schemas.openxmlformats.org/officeDocument/2006/relationships/hyperlink" Target="https://drive.google.com/open?id=1YBEZUssT-IxYtW0vAVehr6ZQ4xdBlrLA" TargetMode="External"/><Relationship Id="rId37" Type="http://schemas.openxmlformats.org/officeDocument/2006/relationships/hyperlink" Target="https://drive.google.com/open?id=1cVHtpwXpMEFOMq_swBvEp9T09HC02PSc" TargetMode="External"/><Relationship Id="rId53" Type="http://schemas.openxmlformats.org/officeDocument/2006/relationships/hyperlink" Target="https://drive.google.com/open?id=1hjf7msXaEJqYWjcXSUp04PvrmqHWXQhv" TargetMode="External"/><Relationship Id="rId58" Type="http://schemas.openxmlformats.org/officeDocument/2006/relationships/hyperlink" Target="https://drive.google.com/open?id=1o-zI0ivPziP5oJsL-GLwJsI0AxBq7-x_" TargetMode="External"/><Relationship Id="rId74" Type="http://schemas.openxmlformats.org/officeDocument/2006/relationships/hyperlink" Target="https://drive.google.com/open?id=1iIPfdV7CU81MQVgitrZUtUfSXktwSXGZ" TargetMode="External"/><Relationship Id="rId79" Type="http://schemas.openxmlformats.org/officeDocument/2006/relationships/hyperlink" Target="https://drive.google.com/open?id=1fcYILU6KE61dNhTnYSqFiFSFWuTr7e1n" TargetMode="External"/><Relationship Id="rId5" Type="http://schemas.openxmlformats.org/officeDocument/2006/relationships/hyperlink" Target="https://drive.google.com/open?id=1FRdZA1sx6N-UNlMk7slBJnQs9MaeiW3e" TargetMode="External"/><Relationship Id="rId90" Type="http://schemas.openxmlformats.org/officeDocument/2006/relationships/hyperlink" Target="https://drive.google.com/open?id=1dV69BDLTGXrioEVxhOJKheeH_6ur2U4S" TargetMode="External"/><Relationship Id="rId95" Type="http://schemas.openxmlformats.org/officeDocument/2006/relationships/hyperlink" Target="https://drive.google.com/open?id=1M5Y7lU7HzA-3P0tZhDXc7rt35RTW3kUs" TargetMode="External"/><Relationship Id="rId22" Type="http://schemas.openxmlformats.org/officeDocument/2006/relationships/hyperlink" Target="https://drive.google.com/open?id=1vVUpxipLTtG4v54-IhgrTKYegtGTe60f" TargetMode="External"/><Relationship Id="rId27" Type="http://schemas.openxmlformats.org/officeDocument/2006/relationships/hyperlink" Target="https://drive.google.com/open?id=1Ns7TeXFEr79C2EFLoBTMxsKf_hCXv-Td" TargetMode="External"/><Relationship Id="rId43" Type="http://schemas.openxmlformats.org/officeDocument/2006/relationships/hyperlink" Target="https://drive.google.com/open?id=1ghZDPtls3suWlsvdZsfZ_euNyxBLDY--" TargetMode="External"/><Relationship Id="rId48" Type="http://schemas.openxmlformats.org/officeDocument/2006/relationships/hyperlink" Target="https://drive.google.com/open?id=1HoCi1Og_N4CTs0qevwsYSLyTAj2D-lG7" TargetMode="External"/><Relationship Id="rId64" Type="http://schemas.openxmlformats.org/officeDocument/2006/relationships/hyperlink" Target="https://drive.google.com/open?id=1POFTG12Uu5Roig49tKw6Ug878TyEZg0n" TargetMode="External"/><Relationship Id="rId69" Type="http://schemas.openxmlformats.org/officeDocument/2006/relationships/hyperlink" Target="https://drive.google.com/open?id=1UZAIEt_5-RMXqRC0-rjQtV6znJRQnxu1" TargetMode="External"/><Relationship Id="rId80" Type="http://schemas.openxmlformats.org/officeDocument/2006/relationships/hyperlink" Target="https://drive.google.com/open?id=1mT3vwcmYAlqCc0EjCgXiKD5o984WIhXC" TargetMode="External"/><Relationship Id="rId85" Type="http://schemas.openxmlformats.org/officeDocument/2006/relationships/hyperlink" Target="https://drive.google.com/open?id=1_nEW1EPzW0ikFSxcjO4qBwzh8JHm7_q9" TargetMode="External"/><Relationship Id="rId3" Type="http://schemas.openxmlformats.org/officeDocument/2006/relationships/hyperlink" Target="https://drive.google.com/open?id=1KBuADajmpyb_3TZ1Rf3Imdgr8mucqOVv" TargetMode="External"/><Relationship Id="rId12" Type="http://schemas.openxmlformats.org/officeDocument/2006/relationships/hyperlink" Target="https://drive.google.com/open?id=1efP1oyDoPAZE5v8DaRc4mHzsgtsYMYRQ" TargetMode="External"/><Relationship Id="rId17" Type="http://schemas.openxmlformats.org/officeDocument/2006/relationships/hyperlink" Target="https://drive.google.com/open?id=1Ikaz7WU-GlOrkDFDi11pBka_YcsCK2LA" TargetMode="External"/><Relationship Id="rId25" Type="http://schemas.openxmlformats.org/officeDocument/2006/relationships/hyperlink" Target="https://drive.google.com/open?id=1hJNAMJEiRck2U89w9r7-_ZCXEjuLGUj-" TargetMode="External"/><Relationship Id="rId33" Type="http://schemas.openxmlformats.org/officeDocument/2006/relationships/hyperlink" Target="https://drive.google.com/open?id=16f7buRuzse6h1N2rq8eB0XgOWt4PlXcL" TargetMode="External"/><Relationship Id="rId38" Type="http://schemas.openxmlformats.org/officeDocument/2006/relationships/hyperlink" Target="https://drive.google.com/open?id=1rvMNCoDuP_g6LdCVbBosXZVoWkzQWApY" TargetMode="External"/><Relationship Id="rId46" Type="http://schemas.openxmlformats.org/officeDocument/2006/relationships/hyperlink" Target="https://drive.google.com/open?id=1_Kq2eQyM1PVPVzJlMjlW6GYklnW3t_rw" TargetMode="External"/><Relationship Id="rId59" Type="http://schemas.openxmlformats.org/officeDocument/2006/relationships/hyperlink" Target="https://drive.google.com/open?id=1G2R4RM4c1pU-Wibx7BEsKvczn5N3m1jz" TargetMode="External"/><Relationship Id="rId67" Type="http://schemas.openxmlformats.org/officeDocument/2006/relationships/hyperlink" Target="https://drive.google.com/open?id=11DFsO0a3OnN3TLrCA36bSN6naIjcUmCd" TargetMode="External"/><Relationship Id="rId20" Type="http://schemas.openxmlformats.org/officeDocument/2006/relationships/hyperlink" Target="https://drive.google.com/open?id=1EMYHC7kXM06iv-wF1h6W2TWtySWduy6S" TargetMode="External"/><Relationship Id="rId41" Type="http://schemas.openxmlformats.org/officeDocument/2006/relationships/hyperlink" Target="https://drive.google.com/open?id=1sEHw0bShndJO9uhXufMHCEU9yblkX1SC" TargetMode="External"/><Relationship Id="rId54" Type="http://schemas.openxmlformats.org/officeDocument/2006/relationships/hyperlink" Target="https://drive.google.com/open?id=1bvnUrAt1we3C2a36mzo9NV7zREVe7elJ" TargetMode="External"/><Relationship Id="rId62" Type="http://schemas.openxmlformats.org/officeDocument/2006/relationships/hyperlink" Target="https://drive.google.com/open?id=1cf9CGwrxo4Jv8OXnVSSl7vPxuel6CgWk" TargetMode="External"/><Relationship Id="rId70" Type="http://schemas.openxmlformats.org/officeDocument/2006/relationships/hyperlink" Target="https://drive.google.com/open?id=1FdlucvjT88rOWNtxcbHTeUug6iTg3jo7" TargetMode="External"/><Relationship Id="rId75" Type="http://schemas.openxmlformats.org/officeDocument/2006/relationships/hyperlink" Target="https://drive.google.com/open?id=1rumIBOJV0ZOoHBY-SUFE2IO7nwo7L425" TargetMode="External"/><Relationship Id="rId83" Type="http://schemas.openxmlformats.org/officeDocument/2006/relationships/hyperlink" Target="https://drive.google.com/open?id=1xqjHkzSdNG8rme3_2yj1DaT0PzGQgPFP" TargetMode="External"/><Relationship Id="rId88" Type="http://schemas.openxmlformats.org/officeDocument/2006/relationships/hyperlink" Target="https://drive.google.com/open?id=1VdghJZqJ2MeZ1ygL5JNsUATyGQdTcHGg" TargetMode="External"/><Relationship Id="rId91" Type="http://schemas.openxmlformats.org/officeDocument/2006/relationships/hyperlink" Target="https://drive.google.com/open?id=1Ir0uC_WyliOTaptFra00N6LG0i3bHTPn" TargetMode="External"/><Relationship Id="rId96" Type="http://schemas.openxmlformats.org/officeDocument/2006/relationships/hyperlink" Target="https://drive.google.com/open?id=16l125zkikBgh5Axo9O68WuP6SbeOnG3W" TargetMode="External"/><Relationship Id="rId1" Type="http://schemas.openxmlformats.org/officeDocument/2006/relationships/hyperlink" Target="https://lnkd.in/eH6xUHv9" TargetMode="External"/><Relationship Id="rId6" Type="http://schemas.openxmlformats.org/officeDocument/2006/relationships/hyperlink" Target="https://drive.google.com/open?id=1q8p0kq6--rLojGyukFHtlnBxIh_uYzlm" TargetMode="External"/><Relationship Id="rId15" Type="http://schemas.openxmlformats.org/officeDocument/2006/relationships/hyperlink" Target="https://drive.google.com/open?id=1It7OT318DG_LZqRV7iWKtdDjHNFHiyU1" TargetMode="External"/><Relationship Id="rId23" Type="http://schemas.openxmlformats.org/officeDocument/2006/relationships/hyperlink" Target="https://drive.google.com/open?id=1ozOzq65877nH7_bl-lYZkNEOgSv5IonB" TargetMode="External"/><Relationship Id="rId28" Type="http://schemas.openxmlformats.org/officeDocument/2006/relationships/hyperlink" Target="https://drive.google.com/open?id=1VNA5gVvQAL6lDLN_Z0bTYTdn4MJDJrI_" TargetMode="External"/><Relationship Id="rId36" Type="http://schemas.openxmlformats.org/officeDocument/2006/relationships/hyperlink" Target="https://drive.google.com/open?id=1tGJqhCmviiu7lwjeGbRwxIRQYEmI4nIY" TargetMode="External"/><Relationship Id="rId49" Type="http://schemas.openxmlformats.org/officeDocument/2006/relationships/hyperlink" Target="https://drive.google.com/open?id=1UDMvWHw3wQ07fxuYAc5vIb6pmOil-zjX" TargetMode="External"/><Relationship Id="rId57" Type="http://schemas.openxmlformats.org/officeDocument/2006/relationships/hyperlink" Target="https://drive.google.com/open?id=1EUaQt8E0m23iuqmq4yBYo0nq7qX8Mk2S" TargetMode="External"/><Relationship Id="rId10" Type="http://schemas.openxmlformats.org/officeDocument/2006/relationships/hyperlink" Target="https://drive.google.com/open?id=1luaa7PJRTnW-9uTZQRB-qNHabWATCmux" TargetMode="External"/><Relationship Id="rId31" Type="http://schemas.openxmlformats.org/officeDocument/2006/relationships/hyperlink" Target="https://drive.google.com/open?id=1mjLEAsa9YGAvCDbL06ITgiKsFX_hfXSx" TargetMode="External"/><Relationship Id="rId44" Type="http://schemas.openxmlformats.org/officeDocument/2006/relationships/hyperlink" Target="https://drive.google.com/open?id=1Q1fvJkOe72biUjHmLSRnZgilN8yvlAUK" TargetMode="External"/><Relationship Id="rId52" Type="http://schemas.openxmlformats.org/officeDocument/2006/relationships/hyperlink" Target="https://drive.google.com/open?id=1dE4CBJGJC3MPW5fZXk_uTBHp3dxEvS9u" TargetMode="External"/><Relationship Id="rId60" Type="http://schemas.openxmlformats.org/officeDocument/2006/relationships/hyperlink" Target="https://drive.google.com/open?id=1odS_hvCQ4s5w9_sEV3oQe0BA-ZP2S9-X" TargetMode="External"/><Relationship Id="rId65" Type="http://schemas.openxmlformats.org/officeDocument/2006/relationships/hyperlink" Target="https://drive.google.com/open?id=1_5eROFhLlmSSWK-Tq3thHlmDZPa875uX" TargetMode="External"/><Relationship Id="rId73" Type="http://schemas.openxmlformats.org/officeDocument/2006/relationships/hyperlink" Target="https://drive.google.com/open?id=1iwdJRB5rVSE5S4B8yJ614BEasj_681Ln" TargetMode="External"/><Relationship Id="rId78" Type="http://schemas.openxmlformats.org/officeDocument/2006/relationships/hyperlink" Target="https://drive.google.com/open?id=1LhveeHEGUf9QHwE9_bKTYKlf82tPBhZs" TargetMode="External"/><Relationship Id="rId81" Type="http://schemas.openxmlformats.org/officeDocument/2006/relationships/hyperlink" Target="https://drive.google.com/open?id=1hUdsUtkBTELzPGH6wPpw5LkAKzirwR_2" TargetMode="External"/><Relationship Id="rId86" Type="http://schemas.openxmlformats.org/officeDocument/2006/relationships/hyperlink" Target="https://drive.google.com/open?id=17r462lgI_lxXHyENACs3WjZ2lMbR0qMC" TargetMode="External"/><Relationship Id="rId94" Type="http://schemas.openxmlformats.org/officeDocument/2006/relationships/hyperlink" Target="https://drive.google.com/open?id=1up04_srOY2QDRSHuyZWVITItLe-zD5Po" TargetMode="External"/><Relationship Id="rId4" Type="http://schemas.openxmlformats.org/officeDocument/2006/relationships/hyperlink" Target="https://drive.google.com/open?id=13KWCtscb5l3xda3y_ycEnXLaG-MVneHN" TargetMode="External"/><Relationship Id="rId9" Type="http://schemas.openxmlformats.org/officeDocument/2006/relationships/hyperlink" Target="https://drive.google.com/open?id=1EZqEmyL-UFcapLjQtaktHSKgm7ZLcHPz" TargetMode="External"/><Relationship Id="rId13" Type="http://schemas.openxmlformats.org/officeDocument/2006/relationships/hyperlink" Target="https://drive.google.com/open?id=1nS_6PTMyJPq72rS8Hperz-REC6cihavM" TargetMode="External"/><Relationship Id="rId18" Type="http://schemas.openxmlformats.org/officeDocument/2006/relationships/hyperlink" Target="https://drive.google.com/open?id=1pkOZv-Yy3pngzTcul_6hZfidEuYuq7Al" TargetMode="External"/><Relationship Id="rId39" Type="http://schemas.openxmlformats.org/officeDocument/2006/relationships/hyperlink" Target="https://drive.google.com/open?id=11h33vu-D-F5k_uST3MvS-bN6Hy75Y8Cm" TargetMode="External"/><Relationship Id="rId34" Type="http://schemas.openxmlformats.org/officeDocument/2006/relationships/hyperlink" Target="https://drive.google.com/open?id=1x64YUyz3pWbsBykBu_NlAJBdDUzvOUPo" TargetMode="External"/><Relationship Id="rId50" Type="http://schemas.openxmlformats.org/officeDocument/2006/relationships/hyperlink" Target="https://drive.google.com/open?id=1sWtS9SxWigqTEpQ4sRF5TYuqQvp05j6r" TargetMode="External"/><Relationship Id="rId55" Type="http://schemas.openxmlformats.org/officeDocument/2006/relationships/hyperlink" Target="https://drive.google.com/open?id=1Yujwro41qwvn4Txo2iXK6ANaFa6AB0og" TargetMode="External"/><Relationship Id="rId76" Type="http://schemas.openxmlformats.org/officeDocument/2006/relationships/hyperlink" Target="https://drive.google.com/open?id=1Xee4IBnKRaUvD4K0rTXO2rVMbS_BYmXT" TargetMode="External"/><Relationship Id="rId97" Type="http://schemas.openxmlformats.org/officeDocument/2006/relationships/hyperlink" Target="https://drive.google.com/open?id=1oFlXO2s-HZExjsRm0HDr9nK3oRbdHykx" TargetMode="External"/><Relationship Id="rId7" Type="http://schemas.openxmlformats.org/officeDocument/2006/relationships/hyperlink" Target="https://drive.google.com/open?id=1MjJ0yP-fyzpc3gNGxSNWDzar2E1iAKtS" TargetMode="External"/><Relationship Id="rId71" Type="http://schemas.openxmlformats.org/officeDocument/2006/relationships/hyperlink" Target="https://drive.google.com/open?id=1UgitYralTiuHdMnYQEOOI2GVE2xYPTZg" TargetMode="External"/><Relationship Id="rId92" Type="http://schemas.openxmlformats.org/officeDocument/2006/relationships/hyperlink" Target="https://drive.google.com/open?id=1Yvd81boW5AOHl5jmrLQkyl-LkchKw453" TargetMode="External"/><Relationship Id="rId2" Type="http://schemas.openxmlformats.org/officeDocument/2006/relationships/hyperlink" Target="https://drive.google.com/open?id=1QLdsX_71ztMXMwqXfDv-SvajM5Q_LgbY" TargetMode="External"/><Relationship Id="rId29" Type="http://schemas.openxmlformats.org/officeDocument/2006/relationships/hyperlink" Target="https://drive.google.com/open?id=1LjvGvdBMGaW9lQ4_AOzGOHZXjxv9MCdw" TargetMode="External"/><Relationship Id="rId24" Type="http://schemas.openxmlformats.org/officeDocument/2006/relationships/hyperlink" Target="https://drive.google.com/open?id=1DtxoKcR6L6fwtXBpy8xcezgJNg5TLC6B" TargetMode="External"/><Relationship Id="rId40" Type="http://schemas.openxmlformats.org/officeDocument/2006/relationships/hyperlink" Target="https://drive.google.com/open?id=1D1jQFhKDcMpqC4AmF0QMTg8KPthEiWyQ" TargetMode="External"/><Relationship Id="rId45" Type="http://schemas.openxmlformats.org/officeDocument/2006/relationships/hyperlink" Target="https://drive.google.com/open?id=1jzjhJnd8UNlqwO3VdN7sYdU_Dk1dPMxf" TargetMode="External"/><Relationship Id="rId66" Type="http://schemas.openxmlformats.org/officeDocument/2006/relationships/hyperlink" Target="https://drive.google.com/open?id=1QgBST7rSJIM96v1j1R2KS0bmU7Dr8XdN" TargetMode="External"/><Relationship Id="rId87" Type="http://schemas.openxmlformats.org/officeDocument/2006/relationships/hyperlink" Target="https://drive.google.com/open?id=1qKVX9A1XlsLG3R_aXw9dikuy6pqva2F8" TargetMode="External"/><Relationship Id="rId61" Type="http://schemas.openxmlformats.org/officeDocument/2006/relationships/hyperlink" Target="https://drive.google.com/open?id=1EK5PvR5ZQVxmWCBnjdMrDlSo_gIXHgQr" TargetMode="External"/><Relationship Id="rId82" Type="http://schemas.openxmlformats.org/officeDocument/2006/relationships/hyperlink" Target="https://drive.google.com/open?id=1mnCcJHjOjImntmIZtkJcOgJ0aGXEeyaE" TargetMode="External"/><Relationship Id="rId19" Type="http://schemas.openxmlformats.org/officeDocument/2006/relationships/hyperlink" Target="https://drive.google.com/open?id=1Bv_JSa1sR4VSmeqewabOH78wqwhoohLS" TargetMode="External"/><Relationship Id="rId14" Type="http://schemas.openxmlformats.org/officeDocument/2006/relationships/hyperlink" Target="https://drive.google.com/open?id=1ozZiG5LAo4ir96A9XJuRaVChZ8K4Ytuv" TargetMode="External"/><Relationship Id="rId30" Type="http://schemas.openxmlformats.org/officeDocument/2006/relationships/hyperlink" Target="https://drive.google.com/open?id=1kg5eeF5HZ7hzArsyMvifFBtL0JW4AoT_" TargetMode="External"/><Relationship Id="rId35" Type="http://schemas.openxmlformats.org/officeDocument/2006/relationships/hyperlink" Target="https://drive.google.com/open?id=1YlyD1zyumBI-e5vHruNvz6K7wfNuAon6" TargetMode="External"/><Relationship Id="rId56" Type="http://schemas.openxmlformats.org/officeDocument/2006/relationships/hyperlink" Target="https://drive.google.com/open?id=1TNkyOO74FD6t92bnzugUnfQtbIDmepoq" TargetMode="External"/><Relationship Id="rId77" Type="http://schemas.openxmlformats.org/officeDocument/2006/relationships/hyperlink" Target="https://drive.google.com/open?id=14GuTV1V9CXuN1Fv7U-1WFZNlZACcJyKz" TargetMode="External"/><Relationship Id="rId8" Type="http://schemas.openxmlformats.org/officeDocument/2006/relationships/hyperlink" Target="https://drive.google.com/open?id=1cML2vneqKqCxJcKlX8-9dkiV493WifW2" TargetMode="External"/><Relationship Id="rId51" Type="http://schemas.openxmlformats.org/officeDocument/2006/relationships/hyperlink" Target="https://drive.google.com/open?id=1QPz-NOfDjuB2iFqxbXg22bChSJE3ZxUr" TargetMode="External"/><Relationship Id="rId72" Type="http://schemas.openxmlformats.org/officeDocument/2006/relationships/hyperlink" Target="https://drive.google.com/open?id=1mY9vbuSO8AvYCGkoe-IzVVuypp6jpKD8" TargetMode="External"/><Relationship Id="rId93" Type="http://schemas.openxmlformats.org/officeDocument/2006/relationships/hyperlink" Target="https://drive.google.com/open?id=14Fq8QvfoATIlmxnEBqoviDVbu5qMzFH5"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rive.google.com/open?id=1LjvGvdBMGaW9lQ4_AOzGOHZXjxv9MCdw" TargetMode="External"/><Relationship Id="rId21" Type="http://schemas.openxmlformats.org/officeDocument/2006/relationships/hyperlink" Target="https://drive.google.com/open?id=1DtxoKcR6L6fwtXBpy8xcezgJNg5TLC6B" TargetMode="External"/><Relationship Id="rId42" Type="http://schemas.openxmlformats.org/officeDocument/2006/relationships/hyperlink" Target="https://drive.google.com/open?id=1QPz-NOfDjuB2iFqxbXg22bChSJE3ZxUr" TargetMode="External"/><Relationship Id="rId47" Type="http://schemas.openxmlformats.org/officeDocument/2006/relationships/hyperlink" Target="https://drive.google.com/open?id=1cf9CGwrxo4Jv8OXnVSSl7vPxuel6CgWk" TargetMode="External"/><Relationship Id="rId63" Type="http://schemas.openxmlformats.org/officeDocument/2006/relationships/hyperlink" Target="https://drive.google.com/open?id=1k9bs8I7AauGmfoOE14q8vRgCdBFcRfv6" TargetMode="External"/><Relationship Id="rId68" Type="http://schemas.openxmlformats.org/officeDocument/2006/relationships/hyperlink" Target="https://drive.google.com/open?id=1D1jQFhKDcMpqC4AmF0QMTg8KPthEiWyQ" TargetMode="External"/><Relationship Id="rId16" Type="http://schemas.openxmlformats.org/officeDocument/2006/relationships/hyperlink" Target="https://drive.google.com/open?id=1Bv_JSa1sR4VSmeqewabOH78wqwhoohLS" TargetMode="External"/><Relationship Id="rId11" Type="http://schemas.openxmlformats.org/officeDocument/2006/relationships/hyperlink" Target="https://drive.google.com/open?id=1ozZiG5LAo4ir96A9XJuRaVChZ8K4Ytuv" TargetMode="External"/><Relationship Id="rId24" Type="http://schemas.openxmlformats.org/officeDocument/2006/relationships/hyperlink" Target="https://drive.google.com/open?id=1Ns7TeXFEr79C2EFLoBTMxsKf_hCXv-Td" TargetMode="External"/><Relationship Id="rId32" Type="http://schemas.openxmlformats.org/officeDocument/2006/relationships/hyperlink" Target="https://drive.google.com/open?id=1YlyD1zyumBI-e5vHruNvz6K7wfNuAon6" TargetMode="External"/><Relationship Id="rId37" Type="http://schemas.openxmlformats.org/officeDocument/2006/relationships/hyperlink" Target="https://drive.google.com/open?id=1ghZDPtls3suWlsvdZsfZ_euNyxBLDY--" TargetMode="External"/><Relationship Id="rId40" Type="http://schemas.openxmlformats.org/officeDocument/2006/relationships/hyperlink" Target="https://drive.google.com/open?id=1_Kq2eQyM1PVPVzJlMjlW6GYklnW3t_rw" TargetMode="External"/><Relationship Id="rId45" Type="http://schemas.openxmlformats.org/officeDocument/2006/relationships/hyperlink" Target="https://drive.google.com/open?id=1odS_hvCQ4s5w9_sEV3oQe0BA-ZP2S9-X" TargetMode="External"/><Relationship Id="rId53" Type="http://schemas.openxmlformats.org/officeDocument/2006/relationships/hyperlink" Target="https://drive.google.com/open?id=17tJYdxULiRdgylffauQoOAEqf3FLt-PH" TargetMode="External"/><Relationship Id="rId58" Type="http://schemas.openxmlformats.org/officeDocument/2006/relationships/hyperlink" Target="https://drive.google.com/open?id=1iwdJRB5rVSE5S4B8yJ614BEasj_681Ln" TargetMode="External"/><Relationship Id="rId66" Type="http://schemas.openxmlformats.org/officeDocument/2006/relationships/hyperlink" Target="https://drive.google.com/open?id=1rvMNCoDuP_g6LdCVbBosXZVoWkzQWApY" TargetMode="External"/><Relationship Id="rId74" Type="http://schemas.openxmlformats.org/officeDocument/2006/relationships/hyperlink" Target="https://drive.google.com/open?id=1Yujwro41qwvn4Txo2iXK6ANaFa6AB0og" TargetMode="External"/><Relationship Id="rId79" Type="http://schemas.openxmlformats.org/officeDocument/2006/relationships/hyperlink" Target="https://drive.google.com/open?id=1HoCi1Og_N4CTs0qevwsYSLyTAj2D-lG7" TargetMode="External"/><Relationship Id="rId5" Type="http://schemas.openxmlformats.org/officeDocument/2006/relationships/hyperlink" Target="https://drive.google.com/open?id=1cML2vneqKqCxJcKlX8-9dkiV493WifW2" TargetMode="External"/><Relationship Id="rId61" Type="http://schemas.openxmlformats.org/officeDocument/2006/relationships/hyperlink" Target="https://drive.google.com/open?id=1VdghJZqJ2MeZ1ygL5JNsUATyGQdTcHGg" TargetMode="External"/><Relationship Id="rId19" Type="http://schemas.openxmlformats.org/officeDocument/2006/relationships/hyperlink" Target="https://drive.google.com/open?id=1vVUpxipLTtG4v54-IhgrTKYegtGTe60f" TargetMode="External"/><Relationship Id="rId14" Type="http://schemas.openxmlformats.org/officeDocument/2006/relationships/hyperlink" Target="https://drive.google.com/open?id=1Ikaz7WU-GlOrkDFDi11pBka_YcsCK2LA" TargetMode="External"/><Relationship Id="rId22" Type="http://schemas.openxmlformats.org/officeDocument/2006/relationships/hyperlink" Target="https://drive.google.com/open?id=1hJNAMJEiRck2U89w9r7-_ZCXEjuLGUj-" TargetMode="External"/><Relationship Id="rId27" Type="http://schemas.openxmlformats.org/officeDocument/2006/relationships/hyperlink" Target="https://drive.google.com/open?id=1kg5eeF5HZ7hzArsyMvifFBtL0JW4AoT_" TargetMode="External"/><Relationship Id="rId30" Type="http://schemas.openxmlformats.org/officeDocument/2006/relationships/hyperlink" Target="https://drive.google.com/open?id=16f7buRuzse6h1N2rq8eB0XgOWt4PlXcL" TargetMode="External"/><Relationship Id="rId35" Type="http://schemas.openxmlformats.org/officeDocument/2006/relationships/hyperlink" Target="https://drive.google.com/open?id=1sEHw0bShndJO9uhXufMHCEU9yblkX1SC" TargetMode="External"/><Relationship Id="rId43" Type="http://schemas.openxmlformats.org/officeDocument/2006/relationships/hyperlink" Target="https://drive.google.com/open?id=1dE4CBJGJC3MPW5fZXk_uTBHp3dxEvS9u" TargetMode="External"/><Relationship Id="rId48" Type="http://schemas.openxmlformats.org/officeDocument/2006/relationships/hyperlink" Target="https://drive.google.com/open?id=1H3IbgTW3nX9yKvNYYQmrfHqz-6RspmQl" TargetMode="External"/><Relationship Id="rId56" Type="http://schemas.openxmlformats.org/officeDocument/2006/relationships/hyperlink" Target="https://drive.google.com/open?id=1UgitYralTiuHdMnYQEOOI2GVE2xYPTZg" TargetMode="External"/><Relationship Id="rId64" Type="http://schemas.openxmlformats.org/officeDocument/2006/relationships/hyperlink" Target="https://drive.google.com/open?id=1Odq-zMRbx9bE7VofUX87jsIU77v41foK" TargetMode="External"/><Relationship Id="rId69" Type="http://schemas.openxmlformats.org/officeDocument/2006/relationships/hyperlink" Target="https://drive.google.com/open?id=16b8lugrZLhfRzNpl06x8SuktD5xJ_SkP" TargetMode="External"/><Relationship Id="rId77" Type="http://schemas.openxmlformats.org/officeDocument/2006/relationships/hyperlink" Target="https://drive.google.com/open?id=1mnCcJHjOjImntmIZtkJcOgJ0aGXEeyaE" TargetMode="External"/><Relationship Id="rId8" Type="http://schemas.openxmlformats.org/officeDocument/2006/relationships/hyperlink" Target="https://drive.google.com/open?id=1e36O1qS4lp9r1bqCqyQLdxIYrp8NpiwN" TargetMode="External"/><Relationship Id="rId51" Type="http://schemas.openxmlformats.org/officeDocument/2006/relationships/hyperlink" Target="https://drive.google.com/open?id=1QgBST7rSJIM96v1j1R2KS0bmU7Dr8XdN" TargetMode="External"/><Relationship Id="rId72" Type="http://schemas.openxmlformats.org/officeDocument/2006/relationships/hyperlink" Target="https://drive.google.com/open?id=1hjf7msXaEJqYWjcXSUp04PvrmqHWXQhv" TargetMode="External"/><Relationship Id="rId80" Type="http://schemas.openxmlformats.org/officeDocument/2006/relationships/hyperlink" Target="https://drive.google.com/open?id=1UDMvWHw3wQ07fxuYAc5vIb6pmOil-zjX" TargetMode="External"/><Relationship Id="rId3" Type="http://schemas.openxmlformats.org/officeDocument/2006/relationships/hyperlink" Target="https://drive.google.com/open?id=1q8p0kq6--rLojGyukFHtlnBxIh_uYzlm" TargetMode="External"/><Relationship Id="rId12" Type="http://schemas.openxmlformats.org/officeDocument/2006/relationships/hyperlink" Target="https://drive.google.com/open?id=1It7OT318DG_LZqRV7iWKtdDjHNFHiyU1" TargetMode="External"/><Relationship Id="rId17" Type="http://schemas.openxmlformats.org/officeDocument/2006/relationships/hyperlink" Target="https://drive.google.com/open?id=1EMYHC7kXM06iv-wF1h6W2TWtySWduy6S" TargetMode="External"/><Relationship Id="rId25" Type="http://schemas.openxmlformats.org/officeDocument/2006/relationships/hyperlink" Target="https://drive.google.com/open?id=1VNA5gVvQAL6lDLN_Z0bTYTdn4MJDJrI_" TargetMode="External"/><Relationship Id="rId33" Type="http://schemas.openxmlformats.org/officeDocument/2006/relationships/hyperlink" Target="https://drive.google.com/open?id=1tGJqhCmviiu7lwjeGbRwxIRQYEmI4nIY" TargetMode="External"/><Relationship Id="rId38" Type="http://schemas.openxmlformats.org/officeDocument/2006/relationships/hyperlink" Target="https://drive.google.com/open?id=1Q1fvJkOe72biUjHmLSRnZgilN8yvlAUK" TargetMode="External"/><Relationship Id="rId46" Type="http://schemas.openxmlformats.org/officeDocument/2006/relationships/hyperlink" Target="https://drive.google.com/open?id=1EK5PvR5ZQVxmWCBnjdMrDlSo_gIXHgQr" TargetMode="External"/><Relationship Id="rId59" Type="http://schemas.openxmlformats.org/officeDocument/2006/relationships/hyperlink" Target="https://drive.google.com/open?id=17r462lgI_lxXHyENACs3WjZ2lMbR0qMC" TargetMode="External"/><Relationship Id="rId67" Type="http://schemas.openxmlformats.org/officeDocument/2006/relationships/hyperlink" Target="https://drive.google.com/open?id=11h33vu-D-F5k_uST3MvS-bN6Hy75Y8Cm" TargetMode="External"/><Relationship Id="rId20" Type="http://schemas.openxmlformats.org/officeDocument/2006/relationships/hyperlink" Target="https://drive.google.com/open?id=1ozOzq65877nH7_bl-lYZkNEOgSv5IonB" TargetMode="External"/><Relationship Id="rId41" Type="http://schemas.openxmlformats.org/officeDocument/2006/relationships/hyperlink" Target="https://drive.google.com/open?id=1sWtS9SxWigqTEpQ4sRF5TYuqQvp05j6r" TargetMode="External"/><Relationship Id="rId54" Type="http://schemas.openxmlformats.org/officeDocument/2006/relationships/hyperlink" Target="https://drive.google.com/open?id=1UZAIEt_5-RMXqRC0-rjQtV6znJRQnxu1" TargetMode="External"/><Relationship Id="rId62" Type="http://schemas.openxmlformats.org/officeDocument/2006/relationships/hyperlink" Target="https://drive.google.com/open?id=19pI7DvWBxTYHSNRU8h_Eke3ZW3tjhABz" TargetMode="External"/><Relationship Id="rId70" Type="http://schemas.openxmlformats.org/officeDocument/2006/relationships/hyperlink" Target="https://drive.google.com/open?id=1_O-qYHi-i6c5Z05jBgqxDEGoUYADIj5j" TargetMode="External"/><Relationship Id="rId75" Type="http://schemas.openxmlformats.org/officeDocument/2006/relationships/hyperlink" Target="https://drive.google.com/open?id=1mT3vwcmYAlqCc0EjCgXiKD5o984WIhXC" TargetMode="External"/><Relationship Id="rId1" Type="http://schemas.openxmlformats.org/officeDocument/2006/relationships/hyperlink" Target="https://lnkd.in/eH6xUHv9" TargetMode="External"/><Relationship Id="rId6" Type="http://schemas.openxmlformats.org/officeDocument/2006/relationships/hyperlink" Target="https://drive.google.com/open?id=1EZqEmyL-UFcapLjQtaktHSKgm7ZLcHPz" TargetMode="External"/><Relationship Id="rId15" Type="http://schemas.openxmlformats.org/officeDocument/2006/relationships/hyperlink" Target="https://drive.google.com/open?id=1pkOZv-Yy3pngzTcul_6hZfidEuYuq7Al" TargetMode="External"/><Relationship Id="rId23" Type="http://schemas.openxmlformats.org/officeDocument/2006/relationships/hyperlink" Target="https://drive.google.com/open?id=18gLzH-dsMzElK9lbbjq_QWpzY8qx53sV" TargetMode="External"/><Relationship Id="rId28" Type="http://schemas.openxmlformats.org/officeDocument/2006/relationships/hyperlink" Target="https://drive.google.com/open?id=1mjLEAsa9YGAvCDbL06ITgiKsFX_hfXSx" TargetMode="External"/><Relationship Id="rId36" Type="http://schemas.openxmlformats.org/officeDocument/2006/relationships/hyperlink" Target="https://drive.google.com/open?id=1bwkt3zdV8pKCCNHSxvRucNEu6tnRR4wx" TargetMode="External"/><Relationship Id="rId49" Type="http://schemas.openxmlformats.org/officeDocument/2006/relationships/hyperlink" Target="https://drive.google.com/open?id=1POFTG12Uu5Roig49tKw6Ug878TyEZg0n" TargetMode="External"/><Relationship Id="rId57" Type="http://schemas.openxmlformats.org/officeDocument/2006/relationships/hyperlink" Target="https://drive.google.com/open?id=1mY9vbuSO8AvYCGkoe-IzVVuypp6jpKD8" TargetMode="External"/><Relationship Id="rId10" Type="http://schemas.openxmlformats.org/officeDocument/2006/relationships/hyperlink" Target="https://drive.google.com/open?id=1nS_6PTMyJPq72rS8Hperz-REC6cihavM" TargetMode="External"/><Relationship Id="rId31" Type="http://schemas.openxmlformats.org/officeDocument/2006/relationships/hyperlink" Target="https://drive.google.com/open?id=1x64YUyz3pWbsBykBu_NlAJBdDUzvOUPo" TargetMode="External"/><Relationship Id="rId44" Type="http://schemas.openxmlformats.org/officeDocument/2006/relationships/hyperlink" Target="https://drive.google.com/open?id=1G2R4RM4c1pU-Wibx7BEsKvczn5N3m1jz" TargetMode="External"/><Relationship Id="rId52" Type="http://schemas.openxmlformats.org/officeDocument/2006/relationships/hyperlink" Target="https://drive.google.com/open?id=11DFsO0a3OnN3TLrCA36bSN6naIjcUmCd" TargetMode="External"/><Relationship Id="rId60" Type="http://schemas.openxmlformats.org/officeDocument/2006/relationships/hyperlink" Target="https://drive.google.com/open?id=1qKVX9A1XlsLG3R_aXw9dikuy6pqva2F8" TargetMode="External"/><Relationship Id="rId65" Type="http://schemas.openxmlformats.org/officeDocument/2006/relationships/hyperlink" Target="mailto:andrewmushabe@gmail.com" TargetMode="External"/><Relationship Id="rId73" Type="http://schemas.openxmlformats.org/officeDocument/2006/relationships/hyperlink" Target="https://drive.google.com/open?id=1bvnUrAt1we3C2a36mzo9NV7zREVe7elJ" TargetMode="External"/><Relationship Id="rId78" Type="http://schemas.openxmlformats.org/officeDocument/2006/relationships/hyperlink" Target="https://drive.google.com/open?id=11YE6dJNQ69RUfkLRpBK5h2O98BXNhO50" TargetMode="External"/><Relationship Id="rId4" Type="http://schemas.openxmlformats.org/officeDocument/2006/relationships/hyperlink" Target="https://drive.google.com/open?id=1MjJ0yP-fyzpc3gNGxSNWDzar2E1iAKtS" TargetMode="External"/><Relationship Id="rId9" Type="http://schemas.openxmlformats.org/officeDocument/2006/relationships/hyperlink" Target="https://drive.google.com/open?id=1efP1oyDoPAZE5v8DaRc4mHzsgtsYMYRQ" TargetMode="External"/><Relationship Id="rId13" Type="http://schemas.openxmlformats.org/officeDocument/2006/relationships/hyperlink" Target="https://drive.google.com/open?id=17_4ZVKYeoxBJ5JF-jdJHkIh7AnrQRdMs" TargetMode="External"/><Relationship Id="rId18" Type="http://schemas.openxmlformats.org/officeDocument/2006/relationships/hyperlink" Target="https://drive.google.com/open?id=1wCMUd0sBj2nYxePXpfjNJG7MDFHbPbe2" TargetMode="External"/><Relationship Id="rId39" Type="http://schemas.openxmlformats.org/officeDocument/2006/relationships/hyperlink" Target="https://drive.google.com/open?id=1jzjhJnd8UNlqwO3VdN7sYdU_Dk1dPMxf" TargetMode="External"/><Relationship Id="rId34" Type="http://schemas.openxmlformats.org/officeDocument/2006/relationships/hyperlink" Target="https://drive.google.com/open?id=1cVHtpwXpMEFOMq_swBvEp9T09HC02PSc" TargetMode="External"/><Relationship Id="rId50" Type="http://schemas.openxmlformats.org/officeDocument/2006/relationships/hyperlink" Target="https://drive.google.com/open?id=1_5eROFhLlmSSWK-Tq3thHlmDZPa875uX" TargetMode="External"/><Relationship Id="rId55" Type="http://schemas.openxmlformats.org/officeDocument/2006/relationships/hyperlink" Target="https://drive.google.com/open?id=1FdlucvjT88rOWNtxcbHTeUug6iTg3jo7" TargetMode="External"/><Relationship Id="rId76" Type="http://schemas.openxmlformats.org/officeDocument/2006/relationships/hyperlink" Target="https://drive.google.com/open?id=1hUdsUtkBTELzPGH6wPpw5LkAKzirwR_2" TargetMode="External"/><Relationship Id="rId7" Type="http://schemas.openxmlformats.org/officeDocument/2006/relationships/hyperlink" Target="https://drive.google.com/open?id=1luaa7PJRTnW-9uTZQRB-qNHabWATCmux" TargetMode="External"/><Relationship Id="rId71" Type="http://schemas.openxmlformats.org/officeDocument/2006/relationships/hyperlink" Target="https://drive.google.com/open?id=17fSzRayoOndY98CmxB_xHSabToM6bYkc" TargetMode="External"/><Relationship Id="rId2" Type="http://schemas.openxmlformats.org/officeDocument/2006/relationships/hyperlink" Target="https://drive.google.com/open?id=1FRdZA1sx6N-UNlMk7slBJnQs9MaeiW3e" TargetMode="External"/><Relationship Id="rId29" Type="http://schemas.openxmlformats.org/officeDocument/2006/relationships/hyperlink" Target="https://drive.google.com/open?id=1YBEZUssT-IxYtW0vAVehr6ZQ4xdBlr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heetViews>
  <sheetFormatPr baseColWidth="10" defaultColWidth="14.5" defaultRowHeight="15" customHeight="1" x14ac:dyDescent="0.2"/>
  <cols>
    <col min="1" max="14" width="8.6640625" customWidth="1"/>
    <col min="15" max="15" width="19" customWidth="1"/>
    <col min="16" max="21" width="8.6640625" customWidth="1"/>
    <col min="22" max="22" width="26.83203125" customWidth="1"/>
    <col min="23" max="23" width="41.83203125" customWidth="1"/>
    <col min="24" max="24" width="40.33203125" customWidth="1"/>
    <col min="25" max="25" width="29" customWidth="1"/>
    <col min="26" max="26" width="27.6640625" customWidth="1"/>
    <col min="27" max="27" width="43" customWidth="1"/>
    <col min="28" max="28" width="34.6640625" customWidth="1"/>
    <col min="29" max="29" width="20.1640625" customWidth="1"/>
    <col min="30" max="30" width="19.6640625" customWidth="1"/>
    <col min="31" max="31" width="15.1640625" customWidth="1"/>
    <col min="32" max="32" width="8.6640625" customWidth="1"/>
  </cols>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c r="AB1" s="2" t="s">
        <v>27</v>
      </c>
      <c r="AC1" s="2" t="s">
        <v>28</v>
      </c>
      <c r="AD1" s="2" t="s">
        <v>29</v>
      </c>
      <c r="AE1" s="2" t="s">
        <v>30</v>
      </c>
      <c r="AF1" s="2" t="s">
        <v>31</v>
      </c>
    </row>
    <row r="2" spans="1:32" x14ac:dyDescent="0.2">
      <c r="A2" s="3" t="s">
        <v>32</v>
      </c>
      <c r="B2" s="3" t="s">
        <v>33</v>
      </c>
      <c r="C2" s="3" t="s">
        <v>34</v>
      </c>
      <c r="D2" s="3" t="s">
        <v>35</v>
      </c>
      <c r="E2" s="3" t="s">
        <v>36</v>
      </c>
      <c r="F2" s="3" t="s">
        <v>37</v>
      </c>
      <c r="G2" s="3" t="s">
        <v>38</v>
      </c>
      <c r="H2" s="3" t="s">
        <v>39</v>
      </c>
      <c r="I2" s="3" t="s">
        <v>40</v>
      </c>
      <c r="J2" s="3" t="s">
        <v>41</v>
      </c>
      <c r="K2" s="3" t="s">
        <v>42</v>
      </c>
      <c r="L2" s="3" t="s">
        <v>43</v>
      </c>
      <c r="M2" s="3" t="s">
        <v>44</v>
      </c>
      <c r="N2" s="3" t="s">
        <v>45</v>
      </c>
      <c r="O2" s="4" t="s">
        <v>46</v>
      </c>
      <c r="P2" s="4" t="s">
        <v>47</v>
      </c>
      <c r="Q2" s="3" t="s">
        <v>48</v>
      </c>
      <c r="R2" s="3"/>
      <c r="S2" s="3" t="s">
        <v>49</v>
      </c>
      <c r="T2" s="3"/>
      <c r="U2" s="4" t="s">
        <v>50</v>
      </c>
      <c r="V2" s="5" t="s">
        <v>51</v>
      </c>
      <c r="W2" s="5" t="s">
        <v>52</v>
      </c>
      <c r="X2" s="5">
        <v>0</v>
      </c>
      <c r="Y2" s="5">
        <v>0</v>
      </c>
      <c r="Z2" s="5">
        <v>5</v>
      </c>
      <c r="AA2" s="5">
        <v>3</v>
      </c>
      <c r="AB2" s="5">
        <v>0</v>
      </c>
      <c r="AC2" s="5">
        <v>5</v>
      </c>
      <c r="AD2" s="5">
        <v>0</v>
      </c>
      <c r="AE2" s="5">
        <f t="shared" ref="AE2:AE121" si="0">SUM(X2:AD2)</f>
        <v>13</v>
      </c>
      <c r="AF2" s="5" t="s">
        <v>53</v>
      </c>
    </row>
    <row r="3" spans="1:32" x14ac:dyDescent="0.2">
      <c r="A3" s="3" t="s">
        <v>54</v>
      </c>
      <c r="B3" s="3" t="s">
        <v>55</v>
      </c>
      <c r="C3" s="3" t="s">
        <v>56</v>
      </c>
      <c r="D3" s="3" t="s">
        <v>57</v>
      </c>
      <c r="E3" s="3" t="s">
        <v>58</v>
      </c>
      <c r="F3" s="3" t="s">
        <v>59</v>
      </c>
      <c r="G3" s="3" t="s">
        <v>60</v>
      </c>
      <c r="H3" s="3" t="s">
        <v>39</v>
      </c>
      <c r="I3" s="3" t="s">
        <v>61</v>
      </c>
      <c r="J3" s="3" t="s">
        <v>62</v>
      </c>
      <c r="K3" s="3" t="s">
        <v>63</v>
      </c>
      <c r="L3" s="3" t="s">
        <v>64</v>
      </c>
      <c r="M3" s="3" t="s">
        <v>65</v>
      </c>
      <c r="N3" s="3" t="s">
        <v>66</v>
      </c>
      <c r="O3" s="4" t="s">
        <v>67</v>
      </c>
      <c r="P3" s="4" t="s">
        <v>68</v>
      </c>
      <c r="Q3" s="3" t="s">
        <v>48</v>
      </c>
      <c r="R3" s="3"/>
      <c r="S3" s="3" t="s">
        <v>49</v>
      </c>
      <c r="T3" s="3"/>
      <c r="U3" s="4" t="s">
        <v>69</v>
      </c>
      <c r="V3" s="5" t="s">
        <v>70</v>
      </c>
      <c r="W3" s="5"/>
      <c r="X3" s="5"/>
      <c r="Y3" s="5"/>
      <c r="Z3" s="5"/>
      <c r="AA3" s="5"/>
      <c r="AB3" s="5"/>
      <c r="AC3" s="5"/>
      <c r="AD3" s="5"/>
      <c r="AE3" s="5">
        <f t="shared" si="0"/>
        <v>0</v>
      </c>
      <c r="AF3" s="5"/>
    </row>
    <row r="4" spans="1:32" x14ac:dyDescent="0.2">
      <c r="A4" s="3" t="s">
        <v>71</v>
      </c>
      <c r="B4" s="3" t="s">
        <v>72</v>
      </c>
      <c r="C4" s="3" t="s">
        <v>73</v>
      </c>
      <c r="D4" s="3" t="s">
        <v>74</v>
      </c>
      <c r="E4" s="3" t="s">
        <v>75</v>
      </c>
      <c r="F4" s="3" t="s">
        <v>76</v>
      </c>
      <c r="G4" s="3" t="s">
        <v>77</v>
      </c>
      <c r="H4" s="3" t="s">
        <v>39</v>
      </c>
      <c r="I4" s="3" t="s">
        <v>78</v>
      </c>
      <c r="J4" s="3" t="s">
        <v>79</v>
      </c>
      <c r="K4" s="3" t="s">
        <v>80</v>
      </c>
      <c r="L4" s="3" t="s">
        <v>81</v>
      </c>
      <c r="M4" s="3" t="s">
        <v>82</v>
      </c>
      <c r="N4" s="3" t="s">
        <v>83</v>
      </c>
      <c r="O4" s="4" t="s">
        <v>84</v>
      </c>
      <c r="P4" s="4" t="s">
        <v>85</v>
      </c>
      <c r="Q4" s="3" t="s">
        <v>49</v>
      </c>
      <c r="R4" s="3"/>
      <c r="S4" s="3" t="s">
        <v>48</v>
      </c>
      <c r="T4" s="3"/>
      <c r="U4" s="4" t="s">
        <v>86</v>
      </c>
      <c r="V4" s="5" t="s">
        <v>87</v>
      </c>
      <c r="W4" s="5"/>
      <c r="X4" s="5">
        <v>0</v>
      </c>
      <c r="Y4" s="5">
        <v>1</v>
      </c>
      <c r="Z4" s="5">
        <v>2</v>
      </c>
      <c r="AA4" s="5">
        <v>1</v>
      </c>
      <c r="AB4" s="5">
        <v>0</v>
      </c>
      <c r="AC4" s="5">
        <v>5</v>
      </c>
      <c r="AD4" s="5">
        <v>0</v>
      </c>
      <c r="AE4" s="5">
        <f t="shared" si="0"/>
        <v>9</v>
      </c>
      <c r="AF4" s="5" t="s">
        <v>53</v>
      </c>
    </row>
    <row r="5" spans="1:32" x14ac:dyDescent="0.2">
      <c r="A5" s="3" t="s">
        <v>88</v>
      </c>
      <c r="B5" s="3" t="s">
        <v>72</v>
      </c>
      <c r="C5" s="3" t="s">
        <v>89</v>
      </c>
      <c r="D5" s="3" t="s">
        <v>90</v>
      </c>
      <c r="E5" s="3" t="s">
        <v>91</v>
      </c>
      <c r="F5" s="3" t="s">
        <v>92</v>
      </c>
      <c r="G5" s="3" t="s">
        <v>93</v>
      </c>
      <c r="H5" s="3" t="s">
        <v>94</v>
      </c>
      <c r="I5" s="3" t="s">
        <v>95</v>
      </c>
      <c r="J5" s="3" t="s">
        <v>96</v>
      </c>
      <c r="K5" s="3" t="s">
        <v>97</v>
      </c>
      <c r="L5" s="3" t="s">
        <v>98</v>
      </c>
      <c r="M5" s="3" t="s">
        <v>99</v>
      </c>
      <c r="N5" s="3" t="s">
        <v>100</v>
      </c>
      <c r="O5" s="4" t="s">
        <v>101</v>
      </c>
      <c r="P5" s="4" t="s">
        <v>102</v>
      </c>
      <c r="Q5" s="3" t="s">
        <v>49</v>
      </c>
      <c r="R5" s="3"/>
      <c r="S5" s="3" t="s">
        <v>49</v>
      </c>
      <c r="T5" s="3"/>
      <c r="U5" s="4" t="s">
        <v>103</v>
      </c>
      <c r="V5" s="5" t="s">
        <v>104</v>
      </c>
      <c r="W5" s="5"/>
      <c r="X5" s="5"/>
      <c r="Y5" s="5"/>
      <c r="Z5" s="5"/>
      <c r="AA5" s="5"/>
      <c r="AB5" s="5"/>
      <c r="AC5" s="5"/>
      <c r="AD5" s="5"/>
      <c r="AE5" s="5">
        <f t="shared" si="0"/>
        <v>0</v>
      </c>
      <c r="AF5" s="5"/>
    </row>
    <row r="6" spans="1:32" x14ac:dyDescent="0.2">
      <c r="A6" s="3" t="s">
        <v>105</v>
      </c>
      <c r="B6" s="3" t="s">
        <v>106</v>
      </c>
      <c r="C6" s="3" t="s">
        <v>107</v>
      </c>
      <c r="D6" s="3" t="s">
        <v>108</v>
      </c>
      <c r="E6" s="3" t="s">
        <v>109</v>
      </c>
      <c r="F6" s="3" t="s">
        <v>110</v>
      </c>
      <c r="G6" s="3" t="s">
        <v>111</v>
      </c>
      <c r="H6" s="3" t="s">
        <v>39</v>
      </c>
      <c r="I6" s="3" t="s">
        <v>112</v>
      </c>
      <c r="J6" s="3" t="s">
        <v>113</v>
      </c>
      <c r="K6" s="3" t="s">
        <v>114</v>
      </c>
      <c r="L6" s="3" t="s">
        <v>115</v>
      </c>
      <c r="M6" s="3" t="s">
        <v>116</v>
      </c>
      <c r="N6" s="3" t="s">
        <v>117</v>
      </c>
      <c r="O6" s="4" t="s">
        <v>118</v>
      </c>
      <c r="P6" s="4" t="s">
        <v>119</v>
      </c>
      <c r="Q6" s="3" t="s">
        <v>49</v>
      </c>
      <c r="R6" s="3"/>
      <c r="S6" s="3" t="s">
        <v>49</v>
      </c>
      <c r="T6" s="3"/>
      <c r="U6" s="4" t="s">
        <v>120</v>
      </c>
      <c r="V6" s="5" t="s">
        <v>121</v>
      </c>
      <c r="W6" s="5" t="s">
        <v>122</v>
      </c>
      <c r="X6" s="5">
        <v>10</v>
      </c>
      <c r="Y6" s="5">
        <v>0</v>
      </c>
      <c r="Z6" s="5">
        <v>6</v>
      </c>
      <c r="AA6" s="5">
        <v>4</v>
      </c>
      <c r="AB6" s="5">
        <v>4</v>
      </c>
      <c r="AC6" s="5">
        <v>5</v>
      </c>
      <c r="AD6" s="5">
        <v>0</v>
      </c>
      <c r="AE6" s="5">
        <f t="shared" si="0"/>
        <v>29</v>
      </c>
      <c r="AF6" s="5" t="s">
        <v>53</v>
      </c>
    </row>
    <row r="7" spans="1:32" x14ac:dyDescent="0.2">
      <c r="A7" s="3" t="s">
        <v>123</v>
      </c>
      <c r="B7" s="3" t="s">
        <v>106</v>
      </c>
      <c r="C7" s="3" t="s">
        <v>124</v>
      </c>
      <c r="D7" s="3" t="s">
        <v>125</v>
      </c>
      <c r="E7" s="3" t="s">
        <v>126</v>
      </c>
      <c r="F7" s="3" t="s">
        <v>127</v>
      </c>
      <c r="G7" s="3" t="s">
        <v>128</v>
      </c>
      <c r="H7" s="3" t="s">
        <v>39</v>
      </c>
      <c r="I7" s="3" t="s">
        <v>129</v>
      </c>
      <c r="J7" s="3" t="s">
        <v>130</v>
      </c>
      <c r="K7" s="3" t="s">
        <v>131</v>
      </c>
      <c r="L7" s="3" t="s">
        <v>132</v>
      </c>
      <c r="M7" s="3" t="s">
        <v>133</v>
      </c>
      <c r="N7" s="3" t="s">
        <v>134</v>
      </c>
      <c r="O7" s="4" t="s">
        <v>135</v>
      </c>
      <c r="P7" s="4" t="s">
        <v>136</v>
      </c>
      <c r="Q7" s="3" t="s">
        <v>49</v>
      </c>
      <c r="R7" s="3"/>
      <c r="S7" s="3" t="s">
        <v>49</v>
      </c>
      <c r="T7" s="3"/>
      <c r="U7" s="4" t="s">
        <v>137</v>
      </c>
      <c r="V7" s="5" t="s">
        <v>138</v>
      </c>
      <c r="W7" s="5"/>
      <c r="X7" s="5"/>
      <c r="Y7" s="5"/>
      <c r="Z7" s="5"/>
      <c r="AA7" s="5"/>
      <c r="AB7" s="5"/>
      <c r="AC7" s="5"/>
      <c r="AD7" s="5"/>
      <c r="AE7" s="5">
        <f t="shared" si="0"/>
        <v>0</v>
      </c>
      <c r="AF7" s="5"/>
    </row>
    <row r="8" spans="1:32" x14ac:dyDescent="0.2">
      <c r="A8" s="3" t="s">
        <v>139</v>
      </c>
      <c r="B8" s="3" t="s">
        <v>72</v>
      </c>
      <c r="C8" s="3" t="s">
        <v>140</v>
      </c>
      <c r="D8" s="3" t="s">
        <v>141</v>
      </c>
      <c r="E8" s="3" t="s">
        <v>142</v>
      </c>
      <c r="F8" s="3" t="s">
        <v>143</v>
      </c>
      <c r="G8" s="3" t="s">
        <v>144</v>
      </c>
      <c r="H8" s="3" t="s">
        <v>94</v>
      </c>
      <c r="I8" s="3" t="s">
        <v>145</v>
      </c>
      <c r="J8" s="3" t="s">
        <v>146</v>
      </c>
      <c r="K8" s="3" t="s">
        <v>147</v>
      </c>
      <c r="L8" s="3" t="s">
        <v>147</v>
      </c>
      <c r="M8" s="3" t="s">
        <v>148</v>
      </c>
      <c r="N8" s="3" t="s">
        <v>149</v>
      </c>
      <c r="O8" s="4" t="s">
        <v>150</v>
      </c>
      <c r="P8" s="4" t="s">
        <v>151</v>
      </c>
      <c r="Q8" s="3" t="s">
        <v>49</v>
      </c>
      <c r="R8" s="3"/>
      <c r="S8" s="3" t="s">
        <v>49</v>
      </c>
      <c r="T8" s="3"/>
      <c r="U8" s="4" t="s">
        <v>152</v>
      </c>
      <c r="V8" s="5" t="s">
        <v>153</v>
      </c>
      <c r="W8" s="5"/>
      <c r="X8" s="5"/>
      <c r="Y8" s="5"/>
      <c r="Z8" s="5"/>
      <c r="AA8" s="5"/>
      <c r="AB8" s="5"/>
      <c r="AC8" s="5"/>
      <c r="AD8" s="5"/>
      <c r="AE8" s="5">
        <f t="shared" si="0"/>
        <v>0</v>
      </c>
      <c r="AF8" s="5"/>
    </row>
    <row r="9" spans="1:32" x14ac:dyDescent="0.2">
      <c r="A9" s="3" t="s">
        <v>154</v>
      </c>
      <c r="B9" s="3" t="s">
        <v>72</v>
      </c>
      <c r="C9" s="3" t="s">
        <v>155</v>
      </c>
      <c r="D9" s="3" t="s">
        <v>156</v>
      </c>
      <c r="E9" s="3" t="s">
        <v>157</v>
      </c>
      <c r="F9" s="3" t="s">
        <v>158</v>
      </c>
      <c r="G9" s="3" t="s">
        <v>159</v>
      </c>
      <c r="H9" s="3" t="s">
        <v>39</v>
      </c>
      <c r="I9" s="3" t="s">
        <v>160</v>
      </c>
      <c r="J9" s="3" t="s">
        <v>161</v>
      </c>
      <c r="K9" s="3" t="s">
        <v>162</v>
      </c>
      <c r="L9" s="3" t="s">
        <v>163</v>
      </c>
      <c r="M9" s="3" t="s">
        <v>164</v>
      </c>
      <c r="N9" s="3" t="s">
        <v>165</v>
      </c>
      <c r="O9" s="4" t="s">
        <v>166</v>
      </c>
      <c r="P9" s="4" t="s">
        <v>167</v>
      </c>
      <c r="Q9" s="3" t="s">
        <v>48</v>
      </c>
      <c r="R9" s="3"/>
      <c r="S9" s="3" t="s">
        <v>49</v>
      </c>
      <c r="T9" s="3"/>
      <c r="U9" s="4" t="s">
        <v>168</v>
      </c>
      <c r="V9" s="5" t="s">
        <v>169</v>
      </c>
      <c r="W9" s="5" t="s">
        <v>170</v>
      </c>
      <c r="X9" s="5">
        <v>5</v>
      </c>
      <c r="Y9" s="5">
        <v>1</v>
      </c>
      <c r="Z9" s="5">
        <v>5</v>
      </c>
      <c r="AA9" s="5">
        <v>3</v>
      </c>
      <c r="AB9" s="5">
        <v>2</v>
      </c>
      <c r="AC9" s="5">
        <v>5</v>
      </c>
      <c r="AD9" s="5">
        <v>0</v>
      </c>
      <c r="AE9" s="5">
        <f t="shared" si="0"/>
        <v>21</v>
      </c>
      <c r="AF9" s="5" t="s">
        <v>53</v>
      </c>
    </row>
    <row r="10" spans="1:32" x14ac:dyDescent="0.2">
      <c r="A10" s="3" t="s">
        <v>171</v>
      </c>
      <c r="B10" s="3" t="s">
        <v>55</v>
      </c>
      <c r="C10" s="3" t="s">
        <v>172</v>
      </c>
      <c r="D10" s="3" t="s">
        <v>173</v>
      </c>
      <c r="E10" s="3" t="s">
        <v>174</v>
      </c>
      <c r="F10" s="3" t="s">
        <v>175</v>
      </c>
      <c r="G10" s="3" t="s">
        <v>176</v>
      </c>
      <c r="H10" s="3" t="s">
        <v>39</v>
      </c>
      <c r="I10" s="3" t="s">
        <v>177</v>
      </c>
      <c r="J10" s="3" t="s">
        <v>178</v>
      </c>
      <c r="K10" s="3" t="s">
        <v>179</v>
      </c>
      <c r="L10" s="3" t="s">
        <v>180</v>
      </c>
      <c r="M10" s="3" t="s">
        <v>181</v>
      </c>
      <c r="N10" s="3" t="s">
        <v>182</v>
      </c>
      <c r="O10" s="4" t="s">
        <v>183</v>
      </c>
      <c r="P10" s="4" t="s">
        <v>184</v>
      </c>
      <c r="Q10" s="3" t="s">
        <v>48</v>
      </c>
      <c r="R10" s="3" t="s">
        <v>48</v>
      </c>
      <c r="S10" s="3" t="s">
        <v>48</v>
      </c>
      <c r="T10" s="3"/>
      <c r="U10" s="4" t="s">
        <v>185</v>
      </c>
      <c r="V10" s="5" t="s">
        <v>186</v>
      </c>
      <c r="W10" s="5"/>
      <c r="X10" s="5"/>
      <c r="Y10" s="5"/>
      <c r="Z10" s="5"/>
      <c r="AA10" s="5"/>
      <c r="AB10" s="5"/>
      <c r="AC10" s="5"/>
      <c r="AD10" s="5"/>
      <c r="AE10" s="5">
        <f t="shared" si="0"/>
        <v>0</v>
      </c>
      <c r="AF10" s="5"/>
    </row>
    <row r="11" spans="1:32" x14ac:dyDescent="0.2">
      <c r="A11" s="3" t="s">
        <v>187</v>
      </c>
      <c r="B11" s="3" t="s">
        <v>188</v>
      </c>
      <c r="C11" s="3" t="s">
        <v>189</v>
      </c>
      <c r="D11" s="3" t="s">
        <v>190</v>
      </c>
      <c r="E11" s="3" t="s">
        <v>191</v>
      </c>
      <c r="F11" s="3" t="s">
        <v>192</v>
      </c>
      <c r="G11" s="3" t="s">
        <v>193</v>
      </c>
      <c r="H11" s="3" t="s">
        <v>94</v>
      </c>
      <c r="I11" s="3" t="s">
        <v>194</v>
      </c>
      <c r="J11" s="3" t="s">
        <v>194</v>
      </c>
      <c r="K11" s="3" t="s">
        <v>195</v>
      </c>
      <c r="L11" s="3" t="s">
        <v>196</v>
      </c>
      <c r="M11" s="3" t="s">
        <v>197</v>
      </c>
      <c r="N11" s="3" t="s">
        <v>198</v>
      </c>
      <c r="O11" s="4" t="s">
        <v>199</v>
      </c>
      <c r="P11" s="4" t="s">
        <v>200</v>
      </c>
      <c r="Q11" s="3" t="s">
        <v>48</v>
      </c>
      <c r="R11" s="3"/>
      <c r="S11" s="3" t="s">
        <v>49</v>
      </c>
      <c r="T11" s="3"/>
      <c r="U11" s="4" t="s">
        <v>201</v>
      </c>
      <c r="V11" s="5" t="s">
        <v>202</v>
      </c>
      <c r="W11" s="5"/>
      <c r="X11" s="5">
        <v>0</v>
      </c>
      <c r="Y11" s="5">
        <v>0</v>
      </c>
      <c r="Z11" s="5">
        <v>8</v>
      </c>
      <c r="AA11" s="5">
        <v>3</v>
      </c>
      <c r="AB11" s="5">
        <v>0</v>
      </c>
      <c r="AC11" s="5">
        <v>5</v>
      </c>
      <c r="AD11" s="5">
        <v>5</v>
      </c>
      <c r="AE11" s="5">
        <f t="shared" si="0"/>
        <v>21</v>
      </c>
      <c r="AF11" s="5" t="s">
        <v>53</v>
      </c>
    </row>
    <row r="12" spans="1:32" x14ac:dyDescent="0.2">
      <c r="A12" s="3" t="s">
        <v>203</v>
      </c>
      <c r="B12" s="3" t="s">
        <v>204</v>
      </c>
      <c r="C12" s="3" t="s">
        <v>205</v>
      </c>
      <c r="D12" s="3" t="s">
        <v>206</v>
      </c>
      <c r="E12" s="3" t="s">
        <v>207</v>
      </c>
      <c r="F12" s="3" t="s">
        <v>208</v>
      </c>
      <c r="G12" s="3" t="s">
        <v>209</v>
      </c>
      <c r="H12" s="3" t="s">
        <v>39</v>
      </c>
      <c r="I12" s="3" t="s">
        <v>210</v>
      </c>
      <c r="J12" s="3" t="s">
        <v>211</v>
      </c>
      <c r="K12" s="3" t="s">
        <v>212</v>
      </c>
      <c r="L12" s="3" t="s">
        <v>213</v>
      </c>
      <c r="M12" s="3" t="s">
        <v>214</v>
      </c>
      <c r="N12" s="3" t="s">
        <v>215</v>
      </c>
      <c r="O12" s="4" t="s">
        <v>216</v>
      </c>
      <c r="P12" s="4" t="s">
        <v>217</v>
      </c>
      <c r="Q12" s="3" t="s">
        <v>48</v>
      </c>
      <c r="R12" s="3" t="s">
        <v>48</v>
      </c>
      <c r="S12" s="3" t="s">
        <v>48</v>
      </c>
      <c r="T12" s="3" t="s">
        <v>48</v>
      </c>
      <c r="U12" s="4" t="s">
        <v>218</v>
      </c>
      <c r="V12" s="5" t="s">
        <v>219</v>
      </c>
      <c r="W12" s="5" t="s">
        <v>220</v>
      </c>
      <c r="X12" s="5">
        <v>20</v>
      </c>
      <c r="Y12" s="5">
        <v>2</v>
      </c>
      <c r="Z12" s="5">
        <v>7</v>
      </c>
      <c r="AA12" s="5">
        <v>4</v>
      </c>
      <c r="AB12" s="5">
        <v>6</v>
      </c>
      <c r="AC12" s="5">
        <v>5</v>
      </c>
      <c r="AD12" s="5">
        <v>0</v>
      </c>
      <c r="AE12" s="5">
        <f t="shared" si="0"/>
        <v>44</v>
      </c>
      <c r="AF12" s="5" t="s">
        <v>221</v>
      </c>
    </row>
    <row r="13" spans="1:32" x14ac:dyDescent="0.2">
      <c r="A13" s="3" t="s">
        <v>222</v>
      </c>
      <c r="B13" s="3" t="s">
        <v>106</v>
      </c>
      <c r="C13" s="3" t="s">
        <v>223</v>
      </c>
      <c r="D13" s="3" t="s">
        <v>224</v>
      </c>
      <c r="E13" s="3" t="s">
        <v>225</v>
      </c>
      <c r="F13" s="3" t="s">
        <v>226</v>
      </c>
      <c r="G13" s="3" t="s">
        <v>227</v>
      </c>
      <c r="H13" s="3" t="s">
        <v>39</v>
      </c>
      <c r="I13" s="3" t="s">
        <v>228</v>
      </c>
      <c r="J13" s="3" t="s">
        <v>229</v>
      </c>
      <c r="K13" s="3" t="s">
        <v>230</v>
      </c>
      <c r="L13" s="3" t="s">
        <v>231</v>
      </c>
      <c r="M13" s="3" t="s">
        <v>232</v>
      </c>
      <c r="N13" s="3" t="s">
        <v>233</v>
      </c>
      <c r="O13" s="4" t="s">
        <v>234</v>
      </c>
      <c r="P13" s="4" t="s">
        <v>235</v>
      </c>
      <c r="Q13" s="3" t="s">
        <v>48</v>
      </c>
      <c r="R13" s="3"/>
      <c r="S13" s="3" t="s">
        <v>49</v>
      </c>
      <c r="T13" s="3"/>
      <c r="U13" s="4" t="s">
        <v>236</v>
      </c>
      <c r="V13" s="5" t="s">
        <v>237</v>
      </c>
      <c r="W13" s="5"/>
      <c r="X13" s="5"/>
      <c r="Y13" s="5"/>
      <c r="Z13" s="5"/>
      <c r="AA13" s="5"/>
      <c r="AB13" s="5"/>
      <c r="AC13" s="5"/>
      <c r="AD13" s="5"/>
      <c r="AE13" s="5">
        <f t="shared" si="0"/>
        <v>0</v>
      </c>
      <c r="AF13" s="5"/>
    </row>
    <row r="14" spans="1:32" x14ac:dyDescent="0.2">
      <c r="A14" s="3" t="s">
        <v>238</v>
      </c>
      <c r="B14" s="3" t="s">
        <v>239</v>
      </c>
      <c r="C14" s="3" t="s">
        <v>240</v>
      </c>
      <c r="D14" s="3" t="s">
        <v>241</v>
      </c>
      <c r="E14" s="3" t="s">
        <v>242</v>
      </c>
      <c r="F14" s="3" t="s">
        <v>243</v>
      </c>
      <c r="G14" s="3" t="s">
        <v>244</v>
      </c>
      <c r="H14" s="3" t="s">
        <v>94</v>
      </c>
      <c r="I14" s="3" t="s">
        <v>245</v>
      </c>
      <c r="J14" s="3" t="s">
        <v>246</v>
      </c>
      <c r="K14" s="3" t="s">
        <v>247</v>
      </c>
      <c r="L14" s="3" t="s">
        <v>248</v>
      </c>
      <c r="M14" s="3" t="s">
        <v>249</v>
      </c>
      <c r="N14" s="3" t="s">
        <v>250</v>
      </c>
      <c r="O14" s="4" t="s">
        <v>251</v>
      </c>
      <c r="P14" s="4" t="s">
        <v>252</v>
      </c>
      <c r="Q14" s="3" t="s">
        <v>48</v>
      </c>
      <c r="R14" s="3"/>
      <c r="S14" s="3" t="s">
        <v>49</v>
      </c>
      <c r="T14" s="3"/>
      <c r="U14" s="4" t="s">
        <v>253</v>
      </c>
      <c r="V14" s="5" t="s">
        <v>254</v>
      </c>
      <c r="W14" s="5"/>
      <c r="X14" s="5">
        <v>0</v>
      </c>
      <c r="Y14" s="5">
        <v>0</v>
      </c>
      <c r="Z14" s="5">
        <v>4</v>
      </c>
      <c r="AA14" s="5">
        <v>1</v>
      </c>
      <c r="AB14" s="5">
        <v>0</v>
      </c>
      <c r="AC14" s="5">
        <v>5</v>
      </c>
      <c r="AD14" s="5">
        <v>5</v>
      </c>
      <c r="AE14" s="5">
        <f t="shared" si="0"/>
        <v>15</v>
      </c>
      <c r="AF14" s="5" t="s">
        <v>53</v>
      </c>
    </row>
    <row r="15" spans="1:32" x14ac:dyDescent="0.2">
      <c r="A15" s="3" t="s">
        <v>255</v>
      </c>
      <c r="B15" s="3" t="s">
        <v>72</v>
      </c>
      <c r="C15" s="3" t="s">
        <v>256</v>
      </c>
      <c r="D15" s="3" t="s">
        <v>257</v>
      </c>
      <c r="E15" s="3" t="s">
        <v>258</v>
      </c>
      <c r="F15" s="3" t="s">
        <v>259</v>
      </c>
      <c r="G15" s="3" t="s">
        <v>260</v>
      </c>
      <c r="H15" s="3" t="s">
        <v>39</v>
      </c>
      <c r="I15" s="3" t="s">
        <v>261</v>
      </c>
      <c r="J15" s="3" t="s">
        <v>262</v>
      </c>
      <c r="K15" s="3" t="s">
        <v>263</v>
      </c>
      <c r="L15" s="3" t="s">
        <v>264</v>
      </c>
      <c r="M15" s="3" t="s">
        <v>265</v>
      </c>
      <c r="N15" s="3" t="s">
        <v>266</v>
      </c>
      <c r="O15" s="4" t="s">
        <v>267</v>
      </c>
      <c r="P15" s="4" t="s">
        <v>268</v>
      </c>
      <c r="Q15" s="3" t="s">
        <v>49</v>
      </c>
      <c r="R15" s="3"/>
      <c r="S15" s="3" t="s">
        <v>49</v>
      </c>
      <c r="T15" s="3"/>
      <c r="U15" s="4" t="s">
        <v>269</v>
      </c>
      <c r="V15" s="5" t="s">
        <v>270</v>
      </c>
      <c r="W15" s="5"/>
      <c r="X15" s="5"/>
      <c r="Y15" s="5"/>
      <c r="Z15" s="5"/>
      <c r="AA15" s="5"/>
      <c r="AB15" s="5"/>
      <c r="AC15" s="5"/>
      <c r="AD15" s="5"/>
      <c r="AE15" s="5">
        <f t="shared" si="0"/>
        <v>0</v>
      </c>
      <c r="AF15" s="5"/>
    </row>
    <row r="16" spans="1:32" x14ac:dyDescent="0.2">
      <c r="A16" s="3" t="s">
        <v>271</v>
      </c>
      <c r="B16" s="3" t="s">
        <v>106</v>
      </c>
      <c r="C16" s="3" t="s">
        <v>272</v>
      </c>
      <c r="D16" s="3" t="s">
        <v>273</v>
      </c>
      <c r="E16" s="3" t="s">
        <v>274</v>
      </c>
      <c r="F16" s="3" t="s">
        <v>275</v>
      </c>
      <c r="G16" s="3" t="s">
        <v>276</v>
      </c>
      <c r="H16" s="3" t="s">
        <v>39</v>
      </c>
      <c r="I16" s="3" t="s">
        <v>277</v>
      </c>
      <c r="J16" s="3" t="s">
        <v>278</v>
      </c>
      <c r="K16" s="3" t="s">
        <v>279</v>
      </c>
      <c r="L16" s="3" t="s">
        <v>280</v>
      </c>
      <c r="M16" s="3" t="s">
        <v>281</v>
      </c>
      <c r="N16" s="3" t="s">
        <v>282</v>
      </c>
      <c r="O16" s="4" t="s">
        <v>283</v>
      </c>
      <c r="P16" s="4" t="s">
        <v>284</v>
      </c>
      <c r="Q16" s="3" t="s">
        <v>49</v>
      </c>
      <c r="R16" s="3"/>
      <c r="S16" s="3" t="s">
        <v>48</v>
      </c>
      <c r="T16" s="3"/>
      <c r="U16" s="4" t="s">
        <v>285</v>
      </c>
      <c r="V16" s="5" t="s">
        <v>286</v>
      </c>
      <c r="W16" s="5"/>
      <c r="X16" s="5">
        <v>0</v>
      </c>
      <c r="Y16" s="5">
        <v>1</v>
      </c>
      <c r="Z16" s="5">
        <v>5</v>
      </c>
      <c r="AA16" s="5">
        <v>3</v>
      </c>
      <c r="AB16" s="5">
        <v>0</v>
      </c>
      <c r="AC16" s="5">
        <v>5</v>
      </c>
      <c r="AD16" s="5">
        <v>0</v>
      </c>
      <c r="AE16" s="5">
        <f t="shared" si="0"/>
        <v>14</v>
      </c>
      <c r="AF16" s="5" t="s">
        <v>53</v>
      </c>
    </row>
    <row r="17" spans="1:32" x14ac:dyDescent="0.2">
      <c r="A17" s="3" t="s">
        <v>287</v>
      </c>
      <c r="B17" s="3" t="s">
        <v>72</v>
      </c>
      <c r="C17" s="3" t="s">
        <v>288</v>
      </c>
      <c r="D17" s="3" t="s">
        <v>289</v>
      </c>
      <c r="E17" s="3"/>
      <c r="F17" s="3" t="s">
        <v>290</v>
      </c>
      <c r="G17" s="3" t="s">
        <v>291</v>
      </c>
      <c r="H17" s="3" t="s">
        <v>39</v>
      </c>
      <c r="I17" s="3" t="s">
        <v>292</v>
      </c>
      <c r="J17" s="3" t="s">
        <v>293</v>
      </c>
      <c r="K17" s="3" t="s">
        <v>294</v>
      </c>
      <c r="L17" s="3" t="s">
        <v>295</v>
      </c>
      <c r="M17" s="3" t="s">
        <v>296</v>
      </c>
      <c r="N17" s="3" t="s">
        <v>297</v>
      </c>
      <c r="O17" s="4" t="s">
        <v>298</v>
      </c>
      <c r="P17" s="4" t="s">
        <v>299</v>
      </c>
      <c r="Q17" s="3" t="s">
        <v>49</v>
      </c>
      <c r="R17" s="3"/>
      <c r="S17" s="3" t="s">
        <v>49</v>
      </c>
      <c r="T17" s="3"/>
      <c r="U17" s="4" t="s">
        <v>300</v>
      </c>
      <c r="V17" s="5" t="s">
        <v>301</v>
      </c>
      <c r="W17" s="5" t="s">
        <v>302</v>
      </c>
      <c r="X17" s="5">
        <v>10</v>
      </c>
      <c r="Y17" s="5">
        <v>0</v>
      </c>
      <c r="Z17" s="5">
        <v>4</v>
      </c>
      <c r="AA17" s="5">
        <v>2</v>
      </c>
      <c r="AB17" s="5">
        <v>4</v>
      </c>
      <c r="AC17" s="5">
        <v>5</v>
      </c>
      <c r="AD17" s="5">
        <v>0</v>
      </c>
      <c r="AE17" s="5">
        <f t="shared" si="0"/>
        <v>25</v>
      </c>
      <c r="AF17" s="5" t="s">
        <v>53</v>
      </c>
    </row>
    <row r="18" spans="1:32" x14ac:dyDescent="0.2">
      <c r="A18" s="3" t="s">
        <v>303</v>
      </c>
      <c r="B18" s="3" t="s">
        <v>304</v>
      </c>
      <c r="C18" s="3" t="s">
        <v>305</v>
      </c>
      <c r="D18" s="3" t="s">
        <v>306</v>
      </c>
      <c r="E18" s="3" t="s">
        <v>307</v>
      </c>
      <c r="F18" s="3" t="s">
        <v>308</v>
      </c>
      <c r="G18" s="3" t="s">
        <v>309</v>
      </c>
      <c r="H18" s="3" t="s">
        <v>94</v>
      </c>
      <c r="I18" s="3" t="s">
        <v>310</v>
      </c>
      <c r="J18" s="3" t="s">
        <v>311</v>
      </c>
      <c r="K18" s="3" t="s">
        <v>312</v>
      </c>
      <c r="L18" s="3" t="s">
        <v>313</v>
      </c>
      <c r="M18" s="3" t="s">
        <v>314</v>
      </c>
      <c r="N18" s="3" t="s">
        <v>315</v>
      </c>
      <c r="O18" s="4" t="s">
        <v>316</v>
      </c>
      <c r="P18" s="4" t="s">
        <v>317</v>
      </c>
      <c r="Q18" s="3" t="s">
        <v>48</v>
      </c>
      <c r="R18" s="3"/>
      <c r="S18" s="3" t="s">
        <v>49</v>
      </c>
      <c r="T18" s="3"/>
      <c r="U18" s="4" t="s">
        <v>318</v>
      </c>
      <c r="V18" s="5" t="s">
        <v>319</v>
      </c>
      <c r="W18" s="5"/>
      <c r="X18" s="5"/>
      <c r="Y18" s="5"/>
      <c r="Z18" s="5"/>
      <c r="AA18" s="5"/>
      <c r="AB18" s="5"/>
      <c r="AC18" s="5"/>
      <c r="AD18" s="5"/>
      <c r="AE18" s="5">
        <f t="shared" si="0"/>
        <v>0</v>
      </c>
      <c r="AF18" s="5"/>
    </row>
    <row r="19" spans="1:32" x14ac:dyDescent="0.2">
      <c r="A19" s="3" t="s">
        <v>320</v>
      </c>
      <c r="B19" s="3" t="s">
        <v>239</v>
      </c>
      <c r="C19" s="3" t="s">
        <v>321</v>
      </c>
      <c r="D19" s="3" t="s">
        <v>322</v>
      </c>
      <c r="E19" s="3" t="s">
        <v>323</v>
      </c>
      <c r="F19" s="3" t="s">
        <v>324</v>
      </c>
      <c r="G19" s="3" t="s">
        <v>325</v>
      </c>
      <c r="H19" s="3" t="s">
        <v>39</v>
      </c>
      <c r="I19" s="3" t="s">
        <v>326</v>
      </c>
      <c r="J19" s="3" t="s">
        <v>327</v>
      </c>
      <c r="K19" s="3" t="s">
        <v>328</v>
      </c>
      <c r="L19" s="3" t="s">
        <v>329</v>
      </c>
      <c r="M19" s="3" t="s">
        <v>330</v>
      </c>
      <c r="N19" s="3" t="s">
        <v>331</v>
      </c>
      <c r="O19" s="4" t="s">
        <v>332</v>
      </c>
      <c r="P19" s="4" t="s">
        <v>333</v>
      </c>
      <c r="Q19" s="3" t="s">
        <v>49</v>
      </c>
      <c r="R19" s="3"/>
      <c r="S19" s="3" t="s">
        <v>49</v>
      </c>
      <c r="T19" s="3"/>
      <c r="U19" s="4" t="s">
        <v>334</v>
      </c>
      <c r="V19" s="5" t="s">
        <v>335</v>
      </c>
      <c r="W19" s="5" t="s">
        <v>335</v>
      </c>
      <c r="X19" s="5">
        <v>10</v>
      </c>
      <c r="Y19" s="5">
        <v>0</v>
      </c>
      <c r="Z19" s="5">
        <v>5</v>
      </c>
      <c r="AA19" s="5">
        <v>3</v>
      </c>
      <c r="AB19" s="5">
        <v>6</v>
      </c>
      <c r="AC19" s="5">
        <v>5</v>
      </c>
      <c r="AD19" s="5">
        <v>0</v>
      </c>
      <c r="AE19" s="5">
        <f t="shared" si="0"/>
        <v>29</v>
      </c>
      <c r="AF19" s="5" t="s">
        <v>336</v>
      </c>
    </row>
    <row r="20" spans="1:32" x14ac:dyDescent="0.2">
      <c r="A20" s="3" t="s">
        <v>337</v>
      </c>
      <c r="B20" s="3" t="s">
        <v>338</v>
      </c>
      <c r="C20" s="3" t="s">
        <v>339</v>
      </c>
      <c r="D20" s="3" t="s">
        <v>340</v>
      </c>
      <c r="E20" s="3" t="s">
        <v>341</v>
      </c>
      <c r="F20" s="3" t="s">
        <v>342</v>
      </c>
      <c r="G20" s="3" t="s">
        <v>343</v>
      </c>
      <c r="H20" s="3" t="s">
        <v>39</v>
      </c>
      <c r="I20" s="3" t="s">
        <v>344</v>
      </c>
      <c r="J20" s="3" t="s">
        <v>345</v>
      </c>
      <c r="K20" s="3" t="s">
        <v>346</v>
      </c>
      <c r="L20" s="3" t="s">
        <v>347</v>
      </c>
      <c r="M20" s="3" t="s">
        <v>348</v>
      </c>
      <c r="N20" s="3" t="s">
        <v>349</v>
      </c>
      <c r="O20" s="4" t="s">
        <v>350</v>
      </c>
      <c r="P20" s="4" t="s">
        <v>351</v>
      </c>
      <c r="Q20" s="3" t="s">
        <v>48</v>
      </c>
      <c r="R20" s="3"/>
      <c r="S20" s="3" t="s">
        <v>48</v>
      </c>
      <c r="T20" s="3"/>
      <c r="U20" s="4" t="s">
        <v>352</v>
      </c>
      <c r="V20" s="5" t="s">
        <v>353</v>
      </c>
      <c r="W20" s="5" t="s">
        <v>354</v>
      </c>
      <c r="X20" s="5">
        <v>15</v>
      </c>
      <c r="Y20" s="5">
        <v>0</v>
      </c>
      <c r="Z20" s="5">
        <v>6</v>
      </c>
      <c r="AA20" s="5">
        <v>4</v>
      </c>
      <c r="AB20" s="5">
        <v>2</v>
      </c>
      <c r="AC20" s="5">
        <v>5</v>
      </c>
      <c r="AD20" s="5">
        <v>0</v>
      </c>
      <c r="AE20" s="5">
        <f t="shared" si="0"/>
        <v>32</v>
      </c>
      <c r="AF20" s="5" t="s">
        <v>355</v>
      </c>
    </row>
    <row r="21" spans="1:32" ht="15.75" customHeight="1" x14ac:dyDescent="0.2">
      <c r="A21" s="3" t="s">
        <v>356</v>
      </c>
      <c r="B21" s="3" t="s">
        <v>72</v>
      </c>
      <c r="C21" s="3" t="s">
        <v>357</v>
      </c>
      <c r="D21" s="3" t="s">
        <v>358</v>
      </c>
      <c r="E21" s="3"/>
      <c r="F21" s="3" t="s">
        <v>359</v>
      </c>
      <c r="G21" s="3" t="s">
        <v>360</v>
      </c>
      <c r="H21" s="3" t="s">
        <v>94</v>
      </c>
      <c r="I21" s="3" t="s">
        <v>361</v>
      </c>
      <c r="J21" s="3" t="s">
        <v>362</v>
      </c>
      <c r="K21" s="3" t="s">
        <v>363</v>
      </c>
      <c r="L21" s="3" t="s">
        <v>364</v>
      </c>
      <c r="M21" s="3" t="s">
        <v>365</v>
      </c>
      <c r="N21" s="3" t="s">
        <v>366</v>
      </c>
      <c r="O21" s="4" t="s">
        <v>367</v>
      </c>
      <c r="P21" s="4" t="s">
        <v>368</v>
      </c>
      <c r="Q21" s="3" t="s">
        <v>49</v>
      </c>
      <c r="R21" s="3"/>
      <c r="S21" s="3" t="s">
        <v>49</v>
      </c>
      <c r="T21" s="3"/>
      <c r="U21" s="4" t="s">
        <v>369</v>
      </c>
      <c r="V21" s="5" t="s">
        <v>370</v>
      </c>
      <c r="W21" s="5"/>
      <c r="X21" s="5">
        <v>0</v>
      </c>
      <c r="Y21" s="5">
        <v>0</v>
      </c>
      <c r="Z21" s="5">
        <v>0</v>
      </c>
      <c r="AA21" s="5">
        <v>1</v>
      </c>
      <c r="AB21" s="5">
        <v>0</v>
      </c>
      <c r="AC21" s="5">
        <v>5</v>
      </c>
      <c r="AD21" s="5">
        <v>5</v>
      </c>
      <c r="AE21" s="5">
        <f t="shared" si="0"/>
        <v>11</v>
      </c>
      <c r="AF21" s="5" t="s">
        <v>53</v>
      </c>
    </row>
    <row r="22" spans="1:32" ht="15.75" customHeight="1" x14ac:dyDescent="0.2">
      <c r="A22" s="3" t="s">
        <v>371</v>
      </c>
      <c r="B22" s="3" t="s">
        <v>55</v>
      </c>
      <c r="C22" s="3" t="s">
        <v>372</v>
      </c>
      <c r="D22" s="3" t="s">
        <v>373</v>
      </c>
      <c r="E22" s="3" t="s">
        <v>374</v>
      </c>
      <c r="F22" s="3" t="s">
        <v>375</v>
      </c>
      <c r="G22" s="3" t="s">
        <v>376</v>
      </c>
      <c r="H22" s="3" t="s">
        <v>39</v>
      </c>
      <c r="I22" s="3" t="s">
        <v>377</v>
      </c>
      <c r="J22" s="3" t="s">
        <v>378</v>
      </c>
      <c r="K22" s="3" t="s">
        <v>379</v>
      </c>
      <c r="L22" s="3" t="s">
        <v>380</v>
      </c>
      <c r="M22" s="3" t="s">
        <v>381</v>
      </c>
      <c r="N22" s="3" t="s">
        <v>382</v>
      </c>
      <c r="O22" s="4" t="s">
        <v>383</v>
      </c>
      <c r="P22" s="4" t="s">
        <v>384</v>
      </c>
      <c r="Q22" s="3" t="s">
        <v>48</v>
      </c>
      <c r="R22" s="3"/>
      <c r="S22" s="3" t="s">
        <v>48</v>
      </c>
      <c r="T22" s="3"/>
      <c r="U22" s="4" t="s">
        <v>385</v>
      </c>
      <c r="V22" s="5" t="s">
        <v>386</v>
      </c>
      <c r="W22" s="5" t="s">
        <v>386</v>
      </c>
      <c r="X22" s="5">
        <v>15</v>
      </c>
      <c r="Y22" s="5">
        <v>1</v>
      </c>
      <c r="Z22" s="5">
        <v>6</v>
      </c>
      <c r="AA22" s="5">
        <v>3</v>
      </c>
      <c r="AB22" s="5">
        <v>4</v>
      </c>
      <c r="AC22" s="5">
        <v>0</v>
      </c>
      <c r="AD22" s="5">
        <v>0</v>
      </c>
      <c r="AE22" s="5">
        <f t="shared" si="0"/>
        <v>29</v>
      </c>
      <c r="AF22" s="5" t="s">
        <v>355</v>
      </c>
    </row>
    <row r="23" spans="1:32" ht="15.75" customHeight="1" x14ac:dyDescent="0.2">
      <c r="A23" s="3" t="s">
        <v>387</v>
      </c>
      <c r="B23" s="3" t="s">
        <v>72</v>
      </c>
      <c r="C23" s="3" t="s">
        <v>388</v>
      </c>
      <c r="D23" s="3" t="s">
        <v>389</v>
      </c>
      <c r="E23" s="3" t="s">
        <v>389</v>
      </c>
      <c r="F23" s="3" t="s">
        <v>390</v>
      </c>
      <c r="G23" s="3" t="s">
        <v>391</v>
      </c>
      <c r="H23" s="3" t="s">
        <v>39</v>
      </c>
      <c r="I23" s="3" t="s">
        <v>392</v>
      </c>
      <c r="J23" s="3" t="s">
        <v>393</v>
      </c>
      <c r="K23" s="3" t="s">
        <v>394</v>
      </c>
      <c r="L23" s="3" t="s">
        <v>395</v>
      </c>
      <c r="M23" s="3" t="s">
        <v>396</v>
      </c>
      <c r="N23" s="3" t="s">
        <v>397</v>
      </c>
      <c r="O23" s="4" t="s">
        <v>398</v>
      </c>
      <c r="P23" s="4" t="s">
        <v>399</v>
      </c>
      <c r="Q23" s="3" t="s">
        <v>48</v>
      </c>
      <c r="R23" s="3"/>
      <c r="S23" s="3" t="s">
        <v>49</v>
      </c>
      <c r="T23" s="3"/>
      <c r="U23" s="4" t="s">
        <v>400</v>
      </c>
      <c r="V23" s="5" t="s">
        <v>401</v>
      </c>
      <c r="W23" s="5" t="s">
        <v>402</v>
      </c>
      <c r="X23" s="5">
        <v>0</v>
      </c>
      <c r="Y23" s="5">
        <v>2</v>
      </c>
      <c r="Z23" s="5">
        <v>7</v>
      </c>
      <c r="AA23" s="5">
        <v>3</v>
      </c>
      <c r="AB23" s="5">
        <v>4</v>
      </c>
      <c r="AC23" s="5">
        <v>5</v>
      </c>
      <c r="AD23" s="5">
        <v>0</v>
      </c>
      <c r="AE23" s="5">
        <f t="shared" si="0"/>
        <v>21</v>
      </c>
      <c r="AF23" s="5" t="s">
        <v>53</v>
      </c>
    </row>
    <row r="24" spans="1:32" ht="15.75" customHeight="1" x14ac:dyDescent="0.2">
      <c r="A24" s="3" t="s">
        <v>403</v>
      </c>
      <c r="B24" s="3" t="s">
        <v>55</v>
      </c>
      <c r="C24" s="3" t="s">
        <v>404</v>
      </c>
      <c r="D24" s="3" t="s">
        <v>405</v>
      </c>
      <c r="E24" s="3" t="s">
        <v>406</v>
      </c>
      <c r="F24" s="3" t="s">
        <v>407</v>
      </c>
      <c r="G24" s="3" t="s">
        <v>408</v>
      </c>
      <c r="H24" s="3" t="s">
        <v>39</v>
      </c>
      <c r="I24" s="3" t="s">
        <v>409</v>
      </c>
      <c r="J24" s="3" t="s">
        <v>410</v>
      </c>
      <c r="K24" s="3" t="s">
        <v>411</v>
      </c>
      <c r="L24" s="3" t="s">
        <v>412</v>
      </c>
      <c r="M24" s="3" t="s">
        <v>413</v>
      </c>
      <c r="N24" s="3" t="s">
        <v>414</v>
      </c>
      <c r="O24" s="4" t="s">
        <v>415</v>
      </c>
      <c r="P24" s="4" t="s">
        <v>416</v>
      </c>
      <c r="Q24" s="3" t="s">
        <v>49</v>
      </c>
      <c r="R24" s="3"/>
      <c r="S24" s="3" t="s">
        <v>49</v>
      </c>
      <c r="T24" s="3"/>
      <c r="U24" s="4" t="s">
        <v>417</v>
      </c>
      <c r="V24" s="5" t="s">
        <v>418</v>
      </c>
      <c r="W24" s="5" t="s">
        <v>419</v>
      </c>
      <c r="X24" s="5">
        <v>0</v>
      </c>
      <c r="Y24" s="5">
        <v>2</v>
      </c>
      <c r="Z24" s="5">
        <v>7</v>
      </c>
      <c r="AA24" s="5">
        <v>4</v>
      </c>
      <c r="AB24" s="5">
        <v>0</v>
      </c>
      <c r="AC24" s="5">
        <v>0</v>
      </c>
      <c r="AD24" s="5">
        <v>0</v>
      </c>
      <c r="AE24" s="5">
        <f t="shared" si="0"/>
        <v>13</v>
      </c>
      <c r="AF24" s="5" t="s">
        <v>53</v>
      </c>
    </row>
    <row r="25" spans="1:32" ht="15.75" customHeight="1" x14ac:dyDescent="0.2">
      <c r="A25" s="3" t="s">
        <v>420</v>
      </c>
      <c r="B25" s="3" t="s">
        <v>106</v>
      </c>
      <c r="C25" s="3" t="s">
        <v>421</v>
      </c>
      <c r="D25" s="3" t="s">
        <v>422</v>
      </c>
      <c r="E25" s="3" t="s">
        <v>423</v>
      </c>
      <c r="F25" s="3" t="s">
        <v>424</v>
      </c>
      <c r="G25" s="3" t="s">
        <v>425</v>
      </c>
      <c r="H25" s="3" t="s">
        <v>39</v>
      </c>
      <c r="I25" s="3" t="s">
        <v>426</v>
      </c>
      <c r="J25" s="3" t="s">
        <v>427</v>
      </c>
      <c r="K25" s="3" t="s">
        <v>428</v>
      </c>
      <c r="L25" s="3" t="s">
        <v>429</v>
      </c>
      <c r="M25" s="3" t="s">
        <v>430</v>
      </c>
      <c r="N25" s="3" t="s">
        <v>431</v>
      </c>
      <c r="O25" s="4" t="s">
        <v>432</v>
      </c>
      <c r="P25" s="4" t="s">
        <v>433</v>
      </c>
      <c r="Q25" s="3" t="s">
        <v>48</v>
      </c>
      <c r="R25" s="3"/>
      <c r="S25" s="3" t="s">
        <v>49</v>
      </c>
      <c r="T25" s="3"/>
      <c r="U25" s="4" t="s">
        <v>434</v>
      </c>
      <c r="V25" s="5" t="s">
        <v>435</v>
      </c>
      <c r="W25" s="5"/>
      <c r="X25" s="5"/>
      <c r="Y25" s="5"/>
      <c r="Z25" s="5"/>
      <c r="AA25" s="5"/>
      <c r="AB25" s="5"/>
      <c r="AC25" s="5"/>
      <c r="AD25" s="5"/>
      <c r="AE25" s="5">
        <f t="shared" si="0"/>
        <v>0</v>
      </c>
      <c r="AF25" s="5"/>
    </row>
    <row r="26" spans="1:32" ht="15.75" customHeight="1" x14ac:dyDescent="0.2">
      <c r="A26" s="3" t="s">
        <v>436</v>
      </c>
      <c r="B26" s="3" t="s">
        <v>106</v>
      </c>
      <c r="C26" s="3" t="s">
        <v>437</v>
      </c>
      <c r="D26" s="3" t="s">
        <v>438</v>
      </c>
      <c r="E26" s="3" t="s">
        <v>439</v>
      </c>
      <c r="F26" s="3" t="s">
        <v>440</v>
      </c>
      <c r="G26" s="3" t="s">
        <v>441</v>
      </c>
      <c r="H26" s="3" t="s">
        <v>94</v>
      </c>
      <c r="I26" s="3" t="s">
        <v>442</v>
      </c>
      <c r="J26" s="3" t="s">
        <v>443</v>
      </c>
      <c r="K26" s="3" t="s">
        <v>444</v>
      </c>
      <c r="L26" s="3" t="s">
        <v>445</v>
      </c>
      <c r="M26" s="3" t="s">
        <v>446</v>
      </c>
      <c r="N26" s="3" t="s">
        <v>447</v>
      </c>
      <c r="O26" s="4" t="s">
        <v>448</v>
      </c>
      <c r="P26" s="4" t="s">
        <v>449</v>
      </c>
      <c r="Q26" s="3" t="s">
        <v>48</v>
      </c>
      <c r="R26" s="3"/>
      <c r="S26" s="3" t="s">
        <v>49</v>
      </c>
      <c r="T26" s="3"/>
      <c r="U26" s="4" t="s">
        <v>450</v>
      </c>
      <c r="V26" s="5" t="s">
        <v>451</v>
      </c>
      <c r="W26" s="5" t="s">
        <v>452</v>
      </c>
      <c r="X26" s="5">
        <v>10</v>
      </c>
      <c r="Y26" s="5">
        <v>1</v>
      </c>
      <c r="Z26" s="5">
        <v>7</v>
      </c>
      <c r="AA26" s="5">
        <v>4</v>
      </c>
      <c r="AB26" s="5">
        <v>6</v>
      </c>
      <c r="AC26" s="5">
        <v>5</v>
      </c>
      <c r="AD26" s="5">
        <v>5</v>
      </c>
      <c r="AE26" s="5">
        <f t="shared" si="0"/>
        <v>38</v>
      </c>
      <c r="AF26" s="5" t="s">
        <v>336</v>
      </c>
    </row>
    <row r="27" spans="1:32" ht="15.75" customHeight="1" x14ac:dyDescent="0.2">
      <c r="A27" s="3" t="s">
        <v>453</v>
      </c>
      <c r="B27" s="3" t="s">
        <v>72</v>
      </c>
      <c r="C27" s="3" t="s">
        <v>454</v>
      </c>
      <c r="D27" s="3" t="s">
        <v>455</v>
      </c>
      <c r="E27" s="3" t="s">
        <v>456</v>
      </c>
      <c r="F27" s="3" t="s">
        <v>457</v>
      </c>
      <c r="G27" s="3" t="s">
        <v>458</v>
      </c>
      <c r="H27" s="3" t="s">
        <v>39</v>
      </c>
      <c r="I27" s="3" t="s">
        <v>459</v>
      </c>
      <c r="J27" s="3" t="s">
        <v>460</v>
      </c>
      <c r="K27" s="3" t="s">
        <v>461</v>
      </c>
      <c r="L27" s="3" t="s">
        <v>462</v>
      </c>
      <c r="M27" s="3" t="s">
        <v>463</v>
      </c>
      <c r="N27" s="3" t="s">
        <v>464</v>
      </c>
      <c r="O27" s="4" t="s">
        <v>465</v>
      </c>
      <c r="P27" s="4" t="s">
        <v>466</v>
      </c>
      <c r="Q27" s="3" t="s">
        <v>48</v>
      </c>
      <c r="R27" s="3"/>
      <c r="S27" s="3" t="s">
        <v>49</v>
      </c>
      <c r="T27" s="3"/>
      <c r="U27" s="4" t="s">
        <v>467</v>
      </c>
      <c r="V27" s="5" t="s">
        <v>468</v>
      </c>
      <c r="W27" s="5" t="s">
        <v>469</v>
      </c>
      <c r="X27" s="5">
        <v>10</v>
      </c>
      <c r="Y27" s="5">
        <v>1</v>
      </c>
      <c r="Z27" s="5">
        <v>6</v>
      </c>
      <c r="AA27" s="5">
        <v>3</v>
      </c>
      <c r="AB27" s="5">
        <v>4</v>
      </c>
      <c r="AC27" s="5">
        <v>5</v>
      </c>
      <c r="AD27" s="5">
        <v>0</v>
      </c>
      <c r="AE27" s="5">
        <f t="shared" si="0"/>
        <v>29</v>
      </c>
      <c r="AF27" s="5" t="s">
        <v>53</v>
      </c>
    </row>
    <row r="28" spans="1:32" ht="15.75" customHeight="1" x14ac:dyDescent="0.2">
      <c r="A28" s="3" t="s">
        <v>470</v>
      </c>
      <c r="B28" s="3" t="s">
        <v>106</v>
      </c>
      <c r="C28" s="3" t="s">
        <v>471</v>
      </c>
      <c r="D28" s="3" t="s">
        <v>472</v>
      </c>
      <c r="E28" s="3" t="s">
        <v>473</v>
      </c>
      <c r="F28" s="3" t="s">
        <v>474</v>
      </c>
      <c r="G28" s="3" t="s">
        <v>475</v>
      </c>
      <c r="H28" s="3" t="s">
        <v>94</v>
      </c>
      <c r="I28" s="3" t="s">
        <v>476</v>
      </c>
      <c r="J28" s="3" t="s">
        <v>477</v>
      </c>
      <c r="K28" s="3" t="s">
        <v>478</v>
      </c>
      <c r="L28" s="3" t="s">
        <v>479</v>
      </c>
      <c r="M28" s="3" t="s">
        <v>480</v>
      </c>
      <c r="N28" s="3" t="s">
        <v>481</v>
      </c>
      <c r="O28" s="4" t="s">
        <v>482</v>
      </c>
      <c r="P28" s="4" t="s">
        <v>483</v>
      </c>
      <c r="Q28" s="3" t="s">
        <v>49</v>
      </c>
      <c r="R28" s="3"/>
      <c r="S28" s="3" t="s">
        <v>49</v>
      </c>
      <c r="T28" s="3"/>
      <c r="U28" s="4" t="s">
        <v>484</v>
      </c>
      <c r="V28" s="5" t="s">
        <v>485</v>
      </c>
      <c r="W28" s="5" t="s">
        <v>486</v>
      </c>
      <c r="X28" s="5">
        <v>10</v>
      </c>
      <c r="Y28" s="5">
        <v>1</v>
      </c>
      <c r="Z28" s="5">
        <v>5</v>
      </c>
      <c r="AA28" s="5">
        <v>3</v>
      </c>
      <c r="AB28" s="5">
        <v>6</v>
      </c>
      <c r="AC28" s="5">
        <v>5</v>
      </c>
      <c r="AD28" s="5">
        <v>5</v>
      </c>
      <c r="AE28" s="5">
        <f t="shared" si="0"/>
        <v>35</v>
      </c>
      <c r="AF28" s="5" t="s">
        <v>336</v>
      </c>
    </row>
    <row r="29" spans="1:32" ht="15.75" customHeight="1" x14ac:dyDescent="0.2">
      <c r="A29" s="3" t="s">
        <v>487</v>
      </c>
      <c r="B29" s="3" t="s">
        <v>106</v>
      </c>
      <c r="C29" s="3" t="s">
        <v>488</v>
      </c>
      <c r="D29" s="3" t="s">
        <v>489</v>
      </c>
      <c r="E29" s="3" t="s">
        <v>490</v>
      </c>
      <c r="F29" s="3" t="s">
        <v>491</v>
      </c>
      <c r="G29" s="3" t="s">
        <v>492</v>
      </c>
      <c r="H29" s="3" t="s">
        <v>94</v>
      </c>
      <c r="I29" s="3" t="s">
        <v>493</v>
      </c>
      <c r="J29" s="3" t="s">
        <v>494</v>
      </c>
      <c r="K29" s="3" t="s">
        <v>495</v>
      </c>
      <c r="L29" s="3" t="s">
        <v>496</v>
      </c>
      <c r="M29" s="3" t="s">
        <v>497</v>
      </c>
      <c r="N29" s="3" t="s">
        <v>498</v>
      </c>
      <c r="O29" s="4" t="s">
        <v>499</v>
      </c>
      <c r="P29" s="4" t="s">
        <v>500</v>
      </c>
      <c r="Q29" s="3" t="s">
        <v>48</v>
      </c>
      <c r="R29" s="3"/>
      <c r="S29" s="3" t="s">
        <v>49</v>
      </c>
      <c r="T29" s="3"/>
      <c r="U29" s="4" t="s">
        <v>501</v>
      </c>
      <c r="V29" s="5" t="s">
        <v>502</v>
      </c>
      <c r="W29" s="5"/>
      <c r="X29" s="5"/>
      <c r="Y29" s="5"/>
      <c r="Z29" s="5"/>
      <c r="AA29" s="5"/>
      <c r="AB29" s="5"/>
      <c r="AC29" s="5"/>
      <c r="AD29" s="5"/>
      <c r="AE29" s="5">
        <f t="shared" si="0"/>
        <v>0</v>
      </c>
      <c r="AF29" s="5"/>
    </row>
    <row r="30" spans="1:32" ht="15.75" customHeight="1" x14ac:dyDescent="0.2">
      <c r="A30" s="3" t="s">
        <v>503</v>
      </c>
      <c r="B30" s="3" t="s">
        <v>55</v>
      </c>
      <c r="C30" s="3" t="s">
        <v>504</v>
      </c>
      <c r="D30" s="3" t="s">
        <v>505</v>
      </c>
      <c r="E30" s="3" t="s">
        <v>506</v>
      </c>
      <c r="F30" s="3" t="s">
        <v>507</v>
      </c>
      <c r="G30" s="3" t="s">
        <v>508</v>
      </c>
      <c r="H30" s="3" t="s">
        <v>94</v>
      </c>
      <c r="I30" s="3" t="s">
        <v>509</v>
      </c>
      <c r="J30" s="3" t="s">
        <v>510</v>
      </c>
      <c r="K30" s="3" t="s">
        <v>511</v>
      </c>
      <c r="L30" s="3" t="s">
        <v>512</v>
      </c>
      <c r="M30" s="3" t="s">
        <v>513</v>
      </c>
      <c r="N30" s="3" t="s">
        <v>514</v>
      </c>
      <c r="O30" s="4" t="s">
        <v>515</v>
      </c>
      <c r="P30" s="4" t="s">
        <v>516</v>
      </c>
      <c r="Q30" s="3" t="s">
        <v>48</v>
      </c>
      <c r="R30" s="3"/>
      <c r="S30" s="3" t="s">
        <v>49</v>
      </c>
      <c r="T30" s="3"/>
      <c r="U30" s="4" t="s">
        <v>517</v>
      </c>
      <c r="V30" s="5" t="s">
        <v>518</v>
      </c>
      <c r="W30" s="5"/>
      <c r="X30" s="5">
        <v>0</v>
      </c>
      <c r="Y30" s="5">
        <v>0</v>
      </c>
      <c r="Z30" s="5">
        <v>5</v>
      </c>
      <c r="AA30" s="5">
        <v>2</v>
      </c>
      <c r="AB30" s="5">
        <v>0</v>
      </c>
      <c r="AC30" s="5">
        <v>0</v>
      </c>
      <c r="AD30" s="5">
        <v>5</v>
      </c>
      <c r="AE30" s="5">
        <f t="shared" si="0"/>
        <v>12</v>
      </c>
      <c r="AF30" s="5" t="s">
        <v>53</v>
      </c>
    </row>
    <row r="31" spans="1:32" ht="15.75" customHeight="1" x14ac:dyDescent="0.2">
      <c r="A31" s="3" t="s">
        <v>519</v>
      </c>
      <c r="B31" s="3" t="s">
        <v>239</v>
      </c>
      <c r="C31" s="3" t="s">
        <v>520</v>
      </c>
      <c r="D31" s="3" t="s">
        <v>521</v>
      </c>
      <c r="E31" s="3" t="s">
        <v>522</v>
      </c>
      <c r="F31" s="3" t="s">
        <v>523</v>
      </c>
      <c r="G31" s="3" t="s">
        <v>524</v>
      </c>
      <c r="H31" s="3" t="s">
        <v>39</v>
      </c>
      <c r="I31" s="3" t="s">
        <v>525</v>
      </c>
      <c r="J31" s="3" t="s">
        <v>378</v>
      </c>
      <c r="K31" s="3" t="s">
        <v>526</v>
      </c>
      <c r="L31" s="3" t="s">
        <v>527</v>
      </c>
      <c r="M31" s="3" t="s">
        <v>528</v>
      </c>
      <c r="N31" s="3" t="s">
        <v>529</v>
      </c>
      <c r="O31" s="4" t="s">
        <v>530</v>
      </c>
      <c r="P31" s="4" t="s">
        <v>531</v>
      </c>
      <c r="Q31" s="3" t="s">
        <v>48</v>
      </c>
      <c r="R31" s="3"/>
      <c r="S31" s="3" t="s">
        <v>49</v>
      </c>
      <c r="T31" s="3"/>
      <c r="U31" s="4" t="s">
        <v>532</v>
      </c>
      <c r="V31" s="5" t="s">
        <v>533</v>
      </c>
      <c r="W31" s="5" t="s">
        <v>534</v>
      </c>
      <c r="X31" s="5">
        <v>25</v>
      </c>
      <c r="Y31" s="5">
        <v>3</v>
      </c>
      <c r="Z31" s="5">
        <v>6</v>
      </c>
      <c r="AA31" s="5">
        <v>3</v>
      </c>
      <c r="AB31" s="5">
        <v>4</v>
      </c>
      <c r="AC31" s="5">
        <v>5</v>
      </c>
      <c r="AD31" s="5">
        <v>0</v>
      </c>
      <c r="AE31" s="5">
        <f t="shared" si="0"/>
        <v>46</v>
      </c>
      <c r="AF31" s="5" t="s">
        <v>535</v>
      </c>
    </row>
    <row r="32" spans="1:32" ht="15.75" customHeight="1" x14ac:dyDescent="0.2">
      <c r="A32" s="3" t="s">
        <v>536</v>
      </c>
      <c r="B32" s="3" t="s">
        <v>72</v>
      </c>
      <c r="C32" s="3" t="s">
        <v>537</v>
      </c>
      <c r="D32" s="3" t="s">
        <v>538</v>
      </c>
      <c r="E32" s="3" t="s">
        <v>539</v>
      </c>
      <c r="F32" s="3" t="s">
        <v>540</v>
      </c>
      <c r="G32" s="3" t="s">
        <v>541</v>
      </c>
      <c r="H32" s="3" t="s">
        <v>94</v>
      </c>
      <c r="I32" s="3" t="s">
        <v>542</v>
      </c>
      <c r="J32" s="3" t="s">
        <v>543</v>
      </c>
      <c r="K32" s="3" t="s">
        <v>544</v>
      </c>
      <c r="L32" s="3" t="s">
        <v>545</v>
      </c>
      <c r="M32" s="3" t="s">
        <v>546</v>
      </c>
      <c r="N32" s="3" t="s">
        <v>547</v>
      </c>
      <c r="O32" s="4" t="s">
        <v>548</v>
      </c>
      <c r="P32" s="4" t="s">
        <v>549</v>
      </c>
      <c r="Q32" s="3" t="s">
        <v>48</v>
      </c>
      <c r="R32" s="3" t="s">
        <v>550</v>
      </c>
      <c r="S32" s="3" t="s">
        <v>49</v>
      </c>
      <c r="T32" s="3"/>
      <c r="U32" s="4" t="s">
        <v>551</v>
      </c>
      <c r="V32" s="5" t="s">
        <v>552</v>
      </c>
      <c r="W32" s="5" t="s">
        <v>553</v>
      </c>
      <c r="X32" s="5">
        <v>15</v>
      </c>
      <c r="Y32" s="5">
        <v>0</v>
      </c>
      <c r="Z32" s="5">
        <v>9</v>
      </c>
      <c r="AA32" s="5">
        <v>4</v>
      </c>
      <c r="AB32" s="5">
        <v>2</v>
      </c>
      <c r="AC32" s="5">
        <v>5</v>
      </c>
      <c r="AD32" s="5">
        <v>5</v>
      </c>
      <c r="AE32" s="5">
        <f t="shared" si="0"/>
        <v>40</v>
      </c>
      <c r="AF32" s="5" t="s">
        <v>355</v>
      </c>
    </row>
    <row r="33" spans="1:32" ht="15.75" customHeight="1" x14ac:dyDescent="0.2">
      <c r="A33" s="3" t="s">
        <v>554</v>
      </c>
      <c r="B33" s="3" t="s">
        <v>55</v>
      </c>
      <c r="C33" s="3" t="s">
        <v>555</v>
      </c>
      <c r="D33" s="3" t="s">
        <v>556</v>
      </c>
      <c r="E33" s="3" t="s">
        <v>557</v>
      </c>
      <c r="F33" s="3" t="s">
        <v>558</v>
      </c>
      <c r="G33" s="3" t="s">
        <v>559</v>
      </c>
      <c r="H33" s="3" t="s">
        <v>39</v>
      </c>
      <c r="I33" s="3" t="s">
        <v>560</v>
      </c>
      <c r="J33" s="3" t="s">
        <v>561</v>
      </c>
      <c r="K33" s="3" t="s">
        <v>562</v>
      </c>
      <c r="L33" s="3" t="s">
        <v>563</v>
      </c>
      <c r="M33" s="3" t="s">
        <v>564</v>
      </c>
      <c r="N33" s="3" t="s">
        <v>565</v>
      </c>
      <c r="O33" s="4" t="s">
        <v>566</v>
      </c>
      <c r="P33" s="4" t="s">
        <v>567</v>
      </c>
      <c r="Q33" s="3" t="s">
        <v>49</v>
      </c>
      <c r="R33" s="3"/>
      <c r="S33" s="3" t="s">
        <v>49</v>
      </c>
      <c r="T33" s="3"/>
      <c r="U33" s="4" t="s">
        <v>568</v>
      </c>
      <c r="V33" s="5" t="s">
        <v>569</v>
      </c>
      <c r="W33" s="5" t="s">
        <v>570</v>
      </c>
      <c r="X33" s="5">
        <v>15</v>
      </c>
      <c r="Y33" s="5">
        <v>2</v>
      </c>
      <c r="Z33" s="5">
        <v>6</v>
      </c>
      <c r="AA33" s="5">
        <v>4</v>
      </c>
      <c r="AB33" s="5">
        <v>4</v>
      </c>
      <c r="AC33" s="5">
        <v>0</v>
      </c>
      <c r="AD33" s="5">
        <v>0</v>
      </c>
      <c r="AE33" s="5">
        <f t="shared" si="0"/>
        <v>31</v>
      </c>
      <c r="AF33" s="5" t="s">
        <v>355</v>
      </c>
    </row>
    <row r="34" spans="1:32" ht="15.75" customHeight="1" x14ac:dyDescent="0.2">
      <c r="A34" s="3" t="s">
        <v>571</v>
      </c>
      <c r="B34" s="3" t="s">
        <v>55</v>
      </c>
      <c r="C34" s="3" t="s">
        <v>572</v>
      </c>
      <c r="D34" s="3" t="s">
        <v>573</v>
      </c>
      <c r="E34" s="3" t="s">
        <v>574</v>
      </c>
      <c r="F34" s="3" t="s">
        <v>575</v>
      </c>
      <c r="G34" s="3" t="s">
        <v>576</v>
      </c>
      <c r="H34" s="3" t="s">
        <v>39</v>
      </c>
      <c r="I34" s="3" t="s">
        <v>577</v>
      </c>
      <c r="J34" s="3" t="s">
        <v>578</v>
      </c>
      <c r="K34" s="3" t="s">
        <v>579</v>
      </c>
      <c r="L34" s="3" t="s">
        <v>580</v>
      </c>
      <c r="M34" s="3" t="s">
        <v>581</v>
      </c>
      <c r="N34" s="3" t="s">
        <v>582</v>
      </c>
      <c r="O34" s="4" t="s">
        <v>583</v>
      </c>
      <c r="P34" s="4" t="s">
        <v>584</v>
      </c>
      <c r="Q34" s="3" t="s">
        <v>49</v>
      </c>
      <c r="R34" s="3"/>
      <c r="S34" s="3" t="s">
        <v>49</v>
      </c>
      <c r="T34" s="3"/>
      <c r="U34" s="4" t="s">
        <v>585</v>
      </c>
      <c r="V34" s="5" t="s">
        <v>586</v>
      </c>
      <c r="W34" s="5"/>
      <c r="X34" s="5">
        <v>0</v>
      </c>
      <c r="Y34" s="5">
        <v>0</v>
      </c>
      <c r="Z34" s="5">
        <v>6</v>
      </c>
      <c r="AA34" s="5">
        <v>3</v>
      </c>
      <c r="AB34" s="5">
        <v>0</v>
      </c>
      <c r="AC34" s="5">
        <v>0</v>
      </c>
      <c r="AD34" s="5">
        <v>0</v>
      </c>
      <c r="AE34" s="5">
        <f t="shared" si="0"/>
        <v>9</v>
      </c>
      <c r="AF34" s="5" t="s">
        <v>53</v>
      </c>
    </row>
    <row r="35" spans="1:32" ht="15.75" customHeight="1" x14ac:dyDescent="0.2">
      <c r="A35" s="3" t="s">
        <v>587</v>
      </c>
      <c r="B35" s="3" t="s">
        <v>239</v>
      </c>
      <c r="C35" s="3" t="s">
        <v>588</v>
      </c>
      <c r="D35" s="3" t="s">
        <v>589</v>
      </c>
      <c r="E35" s="3" t="s">
        <v>590</v>
      </c>
      <c r="F35" s="3" t="s">
        <v>591</v>
      </c>
      <c r="G35" s="3" t="s">
        <v>592</v>
      </c>
      <c r="H35" s="3" t="s">
        <v>39</v>
      </c>
      <c r="I35" s="3" t="s">
        <v>593</v>
      </c>
      <c r="J35" s="3" t="s">
        <v>594</v>
      </c>
      <c r="K35" s="3" t="s">
        <v>595</v>
      </c>
      <c r="L35" s="3" t="s">
        <v>596</v>
      </c>
      <c r="M35" s="3" t="s">
        <v>597</v>
      </c>
      <c r="N35" s="3" t="s">
        <v>598</v>
      </c>
      <c r="O35" s="4" t="s">
        <v>599</v>
      </c>
      <c r="P35" s="4" t="s">
        <v>600</v>
      </c>
      <c r="Q35" s="3" t="s">
        <v>48</v>
      </c>
      <c r="R35" s="3"/>
      <c r="S35" s="3" t="s">
        <v>48</v>
      </c>
      <c r="T35" s="3"/>
      <c r="U35" s="4" t="s">
        <v>601</v>
      </c>
      <c r="V35" s="5" t="s">
        <v>602</v>
      </c>
      <c r="W35" s="5"/>
      <c r="X35" s="5"/>
      <c r="Y35" s="5"/>
      <c r="Z35" s="5"/>
      <c r="AA35" s="5"/>
      <c r="AB35" s="5"/>
      <c r="AC35" s="5"/>
      <c r="AD35" s="5"/>
      <c r="AE35" s="5">
        <f t="shared" si="0"/>
        <v>0</v>
      </c>
      <c r="AF35" s="5"/>
    </row>
    <row r="36" spans="1:32" ht="15.75" customHeight="1" x14ac:dyDescent="0.2">
      <c r="A36" s="3" t="s">
        <v>603</v>
      </c>
      <c r="B36" s="3" t="s">
        <v>55</v>
      </c>
      <c r="C36" s="3" t="s">
        <v>604</v>
      </c>
      <c r="D36" s="3" t="s">
        <v>605</v>
      </c>
      <c r="E36" s="3" t="s">
        <v>147</v>
      </c>
      <c r="F36" s="3" t="s">
        <v>606</v>
      </c>
      <c r="G36" s="3" t="s">
        <v>607</v>
      </c>
      <c r="H36" s="3" t="s">
        <v>39</v>
      </c>
      <c r="I36" s="3" t="s">
        <v>608</v>
      </c>
      <c r="J36" s="3" t="s">
        <v>609</v>
      </c>
      <c r="K36" s="3" t="s">
        <v>610</v>
      </c>
      <c r="L36" s="3" t="s">
        <v>611</v>
      </c>
      <c r="M36" s="3" t="s">
        <v>612</v>
      </c>
      <c r="N36" s="3" t="s">
        <v>613</v>
      </c>
      <c r="O36" s="4" t="s">
        <v>614</v>
      </c>
      <c r="P36" s="4" t="s">
        <v>615</v>
      </c>
      <c r="Q36" s="3" t="s">
        <v>48</v>
      </c>
      <c r="R36" s="3"/>
      <c r="S36" s="3" t="s">
        <v>49</v>
      </c>
      <c r="T36" s="3"/>
      <c r="U36" s="4" t="s">
        <v>616</v>
      </c>
      <c r="V36" s="5" t="s">
        <v>617</v>
      </c>
      <c r="W36" s="5"/>
      <c r="X36" s="5"/>
      <c r="Y36" s="5"/>
      <c r="Z36" s="5"/>
      <c r="AA36" s="5"/>
      <c r="AB36" s="5"/>
      <c r="AC36" s="5"/>
      <c r="AD36" s="5"/>
      <c r="AE36" s="5">
        <f t="shared" si="0"/>
        <v>0</v>
      </c>
      <c r="AF36" s="5"/>
    </row>
    <row r="37" spans="1:32" ht="15.75" customHeight="1" x14ac:dyDescent="0.2">
      <c r="A37" s="3" t="s">
        <v>618</v>
      </c>
      <c r="B37" s="3" t="s">
        <v>106</v>
      </c>
      <c r="C37" s="3" t="s">
        <v>619</v>
      </c>
      <c r="D37" s="3" t="s">
        <v>620</v>
      </c>
      <c r="E37" s="3" t="s">
        <v>621</v>
      </c>
      <c r="F37" s="3" t="s">
        <v>622</v>
      </c>
      <c r="G37" s="3" t="s">
        <v>623</v>
      </c>
      <c r="H37" s="3" t="s">
        <v>39</v>
      </c>
      <c r="I37" s="3" t="s">
        <v>624</v>
      </c>
      <c r="J37" s="3" t="s">
        <v>625</v>
      </c>
      <c r="K37" s="3" t="s">
        <v>626</v>
      </c>
      <c r="L37" s="3" t="s">
        <v>627</v>
      </c>
      <c r="M37" s="3" t="s">
        <v>628</v>
      </c>
      <c r="N37" s="3" t="s">
        <v>629</v>
      </c>
      <c r="O37" s="4" t="s">
        <v>630</v>
      </c>
      <c r="P37" s="4" t="s">
        <v>631</v>
      </c>
      <c r="Q37" s="3" t="s">
        <v>48</v>
      </c>
      <c r="R37" s="3"/>
      <c r="S37" s="3" t="s">
        <v>48</v>
      </c>
      <c r="T37" s="3"/>
      <c r="U37" s="4" t="s">
        <v>632</v>
      </c>
      <c r="V37" s="5" t="s">
        <v>633</v>
      </c>
      <c r="W37" s="5" t="s">
        <v>633</v>
      </c>
      <c r="X37" s="5">
        <v>10</v>
      </c>
      <c r="Y37" s="5">
        <v>3</v>
      </c>
      <c r="Z37" s="5">
        <v>8</v>
      </c>
      <c r="AA37" s="5">
        <v>4</v>
      </c>
      <c r="AB37" s="5">
        <v>8</v>
      </c>
      <c r="AC37" s="5">
        <v>5</v>
      </c>
      <c r="AD37" s="5">
        <v>0</v>
      </c>
      <c r="AE37" s="5">
        <f t="shared" si="0"/>
        <v>38</v>
      </c>
      <c r="AF37" s="5" t="s">
        <v>634</v>
      </c>
    </row>
    <row r="38" spans="1:32" ht="15.75" customHeight="1" x14ac:dyDescent="0.2">
      <c r="A38" s="3" t="s">
        <v>635</v>
      </c>
      <c r="B38" s="3" t="s">
        <v>106</v>
      </c>
      <c r="C38" s="3" t="s">
        <v>636</v>
      </c>
      <c r="D38" s="3" t="s">
        <v>637</v>
      </c>
      <c r="E38" s="3" t="s">
        <v>638</v>
      </c>
      <c r="F38" s="3" t="s">
        <v>639</v>
      </c>
      <c r="G38" s="3" t="s">
        <v>640</v>
      </c>
      <c r="H38" s="3" t="s">
        <v>94</v>
      </c>
      <c r="I38" s="3" t="s">
        <v>641</v>
      </c>
      <c r="J38" s="3" t="s">
        <v>642</v>
      </c>
      <c r="K38" s="3" t="s">
        <v>643</v>
      </c>
      <c r="L38" s="3" t="s">
        <v>644</v>
      </c>
      <c r="M38" s="3" t="s">
        <v>645</v>
      </c>
      <c r="N38" s="3" t="s">
        <v>646</v>
      </c>
      <c r="O38" s="4" t="s">
        <v>647</v>
      </c>
      <c r="P38" s="4" t="s">
        <v>648</v>
      </c>
      <c r="Q38" s="3" t="s">
        <v>48</v>
      </c>
      <c r="R38" s="3"/>
      <c r="S38" s="3" t="s">
        <v>49</v>
      </c>
      <c r="T38" s="3"/>
      <c r="U38" s="4" t="s">
        <v>649</v>
      </c>
      <c r="V38" s="5" t="s">
        <v>650</v>
      </c>
      <c r="W38" s="5" t="s">
        <v>650</v>
      </c>
      <c r="X38" s="5">
        <v>15</v>
      </c>
      <c r="Y38" s="5">
        <v>1</v>
      </c>
      <c r="Z38" s="5">
        <v>7</v>
      </c>
      <c r="AA38" s="5">
        <v>3</v>
      </c>
      <c r="AB38" s="5">
        <v>2</v>
      </c>
      <c r="AC38" s="5">
        <v>5</v>
      </c>
      <c r="AD38" s="5">
        <v>5</v>
      </c>
      <c r="AE38" s="5">
        <f t="shared" si="0"/>
        <v>38</v>
      </c>
      <c r="AF38" s="5" t="s">
        <v>355</v>
      </c>
    </row>
    <row r="39" spans="1:32" ht="15.75" customHeight="1" x14ac:dyDescent="0.2">
      <c r="A39" s="3" t="s">
        <v>651</v>
      </c>
      <c r="B39" s="3" t="s">
        <v>106</v>
      </c>
      <c r="C39" s="3" t="s">
        <v>652</v>
      </c>
      <c r="D39" s="3" t="s">
        <v>653</v>
      </c>
      <c r="E39" s="3" t="s">
        <v>654</v>
      </c>
      <c r="F39" s="3" t="s">
        <v>655</v>
      </c>
      <c r="G39" s="3" t="s">
        <v>656</v>
      </c>
      <c r="H39" s="3" t="s">
        <v>39</v>
      </c>
      <c r="I39" s="3" t="s">
        <v>657</v>
      </c>
      <c r="J39" s="3" t="s">
        <v>658</v>
      </c>
      <c r="K39" s="3" t="s">
        <v>659</v>
      </c>
      <c r="L39" s="3" t="s">
        <v>660</v>
      </c>
      <c r="M39" s="3" t="s">
        <v>661</v>
      </c>
      <c r="N39" s="3" t="s">
        <v>662</v>
      </c>
      <c r="O39" s="4" t="s">
        <v>663</v>
      </c>
      <c r="P39" s="4" t="s">
        <v>664</v>
      </c>
      <c r="Q39" s="3" t="s">
        <v>49</v>
      </c>
      <c r="R39" s="3"/>
      <c r="S39" s="3" t="s">
        <v>49</v>
      </c>
      <c r="T39" s="3"/>
      <c r="U39" s="4" t="s">
        <v>665</v>
      </c>
      <c r="V39" s="5" t="s">
        <v>666</v>
      </c>
      <c r="W39" s="5" t="s">
        <v>667</v>
      </c>
      <c r="X39" s="5">
        <v>0</v>
      </c>
      <c r="Y39" s="5">
        <v>1</v>
      </c>
      <c r="Z39" s="5">
        <v>8</v>
      </c>
      <c r="AA39" s="5">
        <v>6</v>
      </c>
      <c r="AB39" s="5">
        <v>8</v>
      </c>
      <c r="AC39" s="5">
        <v>5</v>
      </c>
      <c r="AD39" s="5">
        <v>0</v>
      </c>
      <c r="AE39" s="5">
        <f t="shared" si="0"/>
        <v>28</v>
      </c>
      <c r="AF39" s="5" t="s">
        <v>634</v>
      </c>
    </row>
    <row r="40" spans="1:32" ht="15.75" customHeight="1" x14ac:dyDescent="0.2">
      <c r="A40" s="3" t="s">
        <v>668</v>
      </c>
      <c r="B40" s="3" t="s">
        <v>239</v>
      </c>
      <c r="C40" s="3" t="s">
        <v>669</v>
      </c>
      <c r="D40" s="3" t="s">
        <v>670</v>
      </c>
      <c r="E40" s="3" t="s">
        <v>671</v>
      </c>
      <c r="F40" s="3" t="s">
        <v>672</v>
      </c>
      <c r="G40" s="3" t="s">
        <v>673</v>
      </c>
      <c r="H40" s="3" t="s">
        <v>94</v>
      </c>
      <c r="I40" s="3" t="s">
        <v>674</v>
      </c>
      <c r="J40" s="3" t="s">
        <v>675</v>
      </c>
      <c r="K40" s="3" t="s">
        <v>676</v>
      </c>
      <c r="L40" s="3" t="s">
        <v>677</v>
      </c>
      <c r="M40" s="3" t="s">
        <v>678</v>
      </c>
      <c r="N40" s="3" t="s">
        <v>679</v>
      </c>
      <c r="O40" s="4" t="s">
        <v>680</v>
      </c>
      <c r="P40" s="4" t="s">
        <v>681</v>
      </c>
      <c r="Q40" s="3" t="s">
        <v>48</v>
      </c>
      <c r="R40" s="3"/>
      <c r="S40" s="3" t="s">
        <v>49</v>
      </c>
      <c r="T40" s="3"/>
      <c r="U40" s="4" t="s">
        <v>682</v>
      </c>
      <c r="V40" s="5" t="s">
        <v>683</v>
      </c>
      <c r="W40" s="5" t="s">
        <v>684</v>
      </c>
      <c r="X40" s="5">
        <v>0</v>
      </c>
      <c r="Y40" s="5">
        <v>1</v>
      </c>
      <c r="Z40" s="5">
        <v>4</v>
      </c>
      <c r="AA40" s="5">
        <v>2</v>
      </c>
      <c r="AB40" s="5">
        <v>2</v>
      </c>
      <c r="AC40" s="5">
        <v>5</v>
      </c>
      <c r="AD40" s="5">
        <v>5</v>
      </c>
      <c r="AE40" s="5">
        <f t="shared" si="0"/>
        <v>19</v>
      </c>
      <c r="AF40" s="5" t="s">
        <v>53</v>
      </c>
    </row>
    <row r="41" spans="1:32" ht="15.75" customHeight="1" x14ac:dyDescent="0.2">
      <c r="A41" s="3" t="s">
        <v>685</v>
      </c>
      <c r="B41" s="3" t="s">
        <v>72</v>
      </c>
      <c r="C41" s="3" t="s">
        <v>574</v>
      </c>
      <c r="D41" s="3" t="s">
        <v>686</v>
      </c>
      <c r="E41" s="3" t="s">
        <v>687</v>
      </c>
      <c r="F41" s="3" t="s">
        <v>688</v>
      </c>
      <c r="G41" s="3" t="s">
        <v>689</v>
      </c>
      <c r="H41" s="3" t="s">
        <v>94</v>
      </c>
      <c r="I41" s="3" t="s">
        <v>690</v>
      </c>
      <c r="J41" s="3" t="s">
        <v>691</v>
      </c>
      <c r="K41" s="3" t="s">
        <v>692</v>
      </c>
      <c r="L41" s="3" t="s">
        <v>693</v>
      </c>
      <c r="M41" s="3" t="s">
        <v>694</v>
      </c>
      <c r="N41" s="3" t="s">
        <v>695</v>
      </c>
      <c r="O41" s="4" t="s">
        <v>696</v>
      </c>
      <c r="P41" s="4" t="s">
        <v>697</v>
      </c>
      <c r="Q41" s="3" t="s">
        <v>49</v>
      </c>
      <c r="R41" s="3"/>
      <c r="S41" s="3" t="s">
        <v>49</v>
      </c>
      <c r="T41" s="3"/>
      <c r="U41" s="4" t="s">
        <v>698</v>
      </c>
      <c r="V41" s="5" t="s">
        <v>699</v>
      </c>
      <c r="W41" s="5"/>
      <c r="X41" s="5">
        <v>0</v>
      </c>
      <c r="Y41" s="5">
        <v>0</v>
      </c>
      <c r="Z41" s="5">
        <v>6</v>
      </c>
      <c r="AA41" s="5">
        <v>4</v>
      </c>
      <c r="AB41" s="5">
        <v>0</v>
      </c>
      <c r="AC41" s="5">
        <v>5</v>
      </c>
      <c r="AD41" s="5">
        <v>5</v>
      </c>
      <c r="AE41" s="5">
        <f t="shared" si="0"/>
        <v>20</v>
      </c>
      <c r="AF41" s="5" t="s">
        <v>53</v>
      </c>
    </row>
    <row r="42" spans="1:32" ht="15.75" customHeight="1" x14ac:dyDescent="0.2">
      <c r="A42" s="3" t="s">
        <v>700</v>
      </c>
      <c r="B42" s="3" t="s">
        <v>106</v>
      </c>
      <c r="C42" s="3" t="s">
        <v>701</v>
      </c>
      <c r="D42" s="3" t="s">
        <v>702</v>
      </c>
      <c r="E42" s="3" t="s">
        <v>703</v>
      </c>
      <c r="F42" s="3" t="s">
        <v>704</v>
      </c>
      <c r="G42" s="3" t="s">
        <v>705</v>
      </c>
      <c r="H42" s="3" t="s">
        <v>39</v>
      </c>
      <c r="I42" s="3" t="s">
        <v>706</v>
      </c>
      <c r="J42" s="3" t="s">
        <v>707</v>
      </c>
      <c r="K42" s="3" t="s">
        <v>708</v>
      </c>
      <c r="L42" s="3" t="s">
        <v>709</v>
      </c>
      <c r="M42" s="3" t="s">
        <v>710</v>
      </c>
      <c r="N42" s="3" t="s">
        <v>711</v>
      </c>
      <c r="O42" s="4" t="s">
        <v>712</v>
      </c>
      <c r="P42" s="4" t="s">
        <v>713</v>
      </c>
      <c r="Q42" s="3" t="s">
        <v>49</v>
      </c>
      <c r="R42" s="3"/>
      <c r="S42" s="3" t="s">
        <v>49</v>
      </c>
      <c r="T42" s="3"/>
      <c r="U42" s="4" t="s">
        <v>714</v>
      </c>
      <c r="V42" s="5" t="s">
        <v>715</v>
      </c>
      <c r="W42" s="5"/>
      <c r="X42" s="5"/>
      <c r="Y42" s="5"/>
      <c r="Z42" s="5"/>
      <c r="AA42" s="5"/>
      <c r="AB42" s="5"/>
      <c r="AC42" s="5"/>
      <c r="AD42" s="5"/>
      <c r="AE42" s="5">
        <f t="shared" si="0"/>
        <v>0</v>
      </c>
      <c r="AF42" s="5"/>
    </row>
    <row r="43" spans="1:32" ht="15.75" customHeight="1" x14ac:dyDescent="0.2">
      <c r="A43" s="3" t="s">
        <v>716</v>
      </c>
      <c r="B43" s="3" t="s">
        <v>106</v>
      </c>
      <c r="C43" s="3" t="s">
        <v>717</v>
      </c>
      <c r="D43" s="3" t="s">
        <v>718</v>
      </c>
      <c r="E43" s="3" t="s">
        <v>719</v>
      </c>
      <c r="F43" s="3" t="s">
        <v>720</v>
      </c>
      <c r="G43" s="3" t="s">
        <v>721</v>
      </c>
      <c r="H43" s="3" t="s">
        <v>39</v>
      </c>
      <c r="I43" s="3" t="s">
        <v>722</v>
      </c>
      <c r="J43" s="3" t="s">
        <v>723</v>
      </c>
      <c r="K43" s="3" t="s">
        <v>724</v>
      </c>
      <c r="L43" s="3" t="s">
        <v>725</v>
      </c>
      <c r="M43" s="3" t="s">
        <v>726</v>
      </c>
      <c r="N43" s="3" t="s">
        <v>727</v>
      </c>
      <c r="O43" s="4" t="s">
        <v>728</v>
      </c>
      <c r="P43" s="4" t="s">
        <v>729</v>
      </c>
      <c r="Q43" s="3" t="s">
        <v>48</v>
      </c>
      <c r="R43" s="3"/>
      <c r="S43" s="3" t="s">
        <v>48</v>
      </c>
      <c r="T43" s="3"/>
      <c r="U43" s="4" t="s">
        <v>730</v>
      </c>
      <c r="V43" s="5" t="s">
        <v>731</v>
      </c>
      <c r="W43" s="5"/>
      <c r="X43" s="5"/>
      <c r="Y43" s="5"/>
      <c r="Z43" s="5"/>
      <c r="AA43" s="5"/>
      <c r="AB43" s="5"/>
      <c r="AC43" s="5"/>
      <c r="AD43" s="5"/>
      <c r="AE43" s="5">
        <f t="shared" si="0"/>
        <v>0</v>
      </c>
      <c r="AF43" s="5"/>
    </row>
    <row r="44" spans="1:32" ht="15.75" customHeight="1" x14ac:dyDescent="0.2">
      <c r="A44" s="3" t="s">
        <v>732</v>
      </c>
      <c r="B44" s="3" t="s">
        <v>72</v>
      </c>
      <c r="C44" s="3" t="s">
        <v>733</v>
      </c>
      <c r="D44" s="3" t="s">
        <v>734</v>
      </c>
      <c r="E44" s="3" t="s">
        <v>735</v>
      </c>
      <c r="F44" s="3" t="s">
        <v>736</v>
      </c>
      <c r="G44" s="3" t="s">
        <v>737</v>
      </c>
      <c r="H44" s="3" t="s">
        <v>39</v>
      </c>
      <c r="I44" s="3" t="s">
        <v>738</v>
      </c>
      <c r="J44" s="3" t="s">
        <v>739</v>
      </c>
      <c r="K44" s="3" t="s">
        <v>740</v>
      </c>
      <c r="L44" s="3" t="s">
        <v>741</v>
      </c>
      <c r="M44" s="3" t="s">
        <v>742</v>
      </c>
      <c r="N44" s="3" t="s">
        <v>743</v>
      </c>
      <c r="O44" s="4" t="s">
        <v>744</v>
      </c>
      <c r="P44" s="4" t="s">
        <v>745</v>
      </c>
      <c r="Q44" s="3" t="s">
        <v>49</v>
      </c>
      <c r="R44" s="3"/>
      <c r="S44" s="3" t="s">
        <v>49</v>
      </c>
      <c r="T44" s="3"/>
      <c r="U44" s="4" t="s">
        <v>746</v>
      </c>
      <c r="V44" s="5" t="s">
        <v>747</v>
      </c>
      <c r="W44" s="5" t="s">
        <v>748</v>
      </c>
      <c r="X44" s="5">
        <v>5</v>
      </c>
      <c r="Y44" s="5">
        <v>2</v>
      </c>
      <c r="Z44" s="5">
        <v>9</v>
      </c>
      <c r="AA44" s="5">
        <v>3</v>
      </c>
      <c r="AB44" s="5">
        <v>4</v>
      </c>
      <c r="AC44" s="5">
        <v>5</v>
      </c>
      <c r="AD44" s="5">
        <v>0</v>
      </c>
      <c r="AE44" s="5">
        <f t="shared" si="0"/>
        <v>28</v>
      </c>
      <c r="AF44" s="5" t="s">
        <v>53</v>
      </c>
    </row>
    <row r="45" spans="1:32" ht="15.75" customHeight="1" x14ac:dyDescent="0.2">
      <c r="A45" s="3" t="s">
        <v>749</v>
      </c>
      <c r="B45" s="3" t="s">
        <v>72</v>
      </c>
      <c r="C45" s="3" t="s">
        <v>750</v>
      </c>
      <c r="D45" s="3" t="s">
        <v>751</v>
      </c>
      <c r="E45" s="3" t="s">
        <v>751</v>
      </c>
      <c r="F45" s="3" t="s">
        <v>752</v>
      </c>
      <c r="G45" s="3" t="s">
        <v>753</v>
      </c>
      <c r="H45" s="3" t="s">
        <v>39</v>
      </c>
      <c r="I45" s="3" t="s">
        <v>754</v>
      </c>
      <c r="J45" s="3" t="s">
        <v>755</v>
      </c>
      <c r="K45" s="3" t="s">
        <v>756</v>
      </c>
      <c r="L45" s="3" t="s">
        <v>757</v>
      </c>
      <c r="M45" s="3" t="s">
        <v>758</v>
      </c>
      <c r="N45" s="3" t="s">
        <v>759</v>
      </c>
      <c r="O45" s="4" t="s">
        <v>760</v>
      </c>
      <c r="P45" s="4" t="s">
        <v>761</v>
      </c>
      <c r="Q45" s="3" t="s">
        <v>48</v>
      </c>
      <c r="R45" s="3"/>
      <c r="S45" s="3" t="s">
        <v>48</v>
      </c>
      <c r="T45" s="3"/>
      <c r="U45" s="4" t="s">
        <v>762</v>
      </c>
      <c r="V45" s="5" t="s">
        <v>763</v>
      </c>
      <c r="W45" s="5" t="s">
        <v>763</v>
      </c>
      <c r="X45" s="5">
        <v>25</v>
      </c>
      <c r="Y45" s="5">
        <v>1</v>
      </c>
      <c r="Z45" s="5">
        <v>7</v>
      </c>
      <c r="AA45" s="5">
        <v>3</v>
      </c>
      <c r="AB45" s="5">
        <v>4</v>
      </c>
      <c r="AC45" s="5">
        <v>5</v>
      </c>
      <c r="AD45" s="5">
        <v>0</v>
      </c>
      <c r="AE45" s="5">
        <f t="shared" si="0"/>
        <v>45</v>
      </c>
      <c r="AF45" s="5" t="s">
        <v>535</v>
      </c>
    </row>
    <row r="46" spans="1:32" ht="15.75" customHeight="1" x14ac:dyDescent="0.2">
      <c r="A46" s="3" t="s">
        <v>764</v>
      </c>
      <c r="B46" s="3" t="s">
        <v>72</v>
      </c>
      <c r="C46" s="3" t="s">
        <v>765</v>
      </c>
      <c r="D46" s="3" t="s">
        <v>766</v>
      </c>
      <c r="E46" s="3" t="s">
        <v>767</v>
      </c>
      <c r="F46" s="3" t="s">
        <v>768</v>
      </c>
      <c r="G46" s="3" t="s">
        <v>769</v>
      </c>
      <c r="H46" s="3" t="s">
        <v>94</v>
      </c>
      <c r="I46" s="3" t="s">
        <v>770</v>
      </c>
      <c r="J46" s="3" t="s">
        <v>771</v>
      </c>
      <c r="K46" s="3" t="s">
        <v>772</v>
      </c>
      <c r="L46" s="3" t="s">
        <v>773</v>
      </c>
      <c r="M46" s="3" t="s">
        <v>774</v>
      </c>
      <c r="N46" s="3" t="s">
        <v>775</v>
      </c>
      <c r="O46" s="4" t="s">
        <v>776</v>
      </c>
      <c r="P46" s="4" t="s">
        <v>777</v>
      </c>
      <c r="Q46" s="3" t="s">
        <v>48</v>
      </c>
      <c r="R46" s="3"/>
      <c r="S46" s="3" t="s">
        <v>48</v>
      </c>
      <c r="T46" s="3"/>
      <c r="U46" s="4" t="s">
        <v>778</v>
      </c>
      <c r="V46" s="5" t="s">
        <v>779</v>
      </c>
      <c r="W46" s="5"/>
      <c r="X46" s="5"/>
      <c r="Y46" s="5"/>
      <c r="Z46" s="5"/>
      <c r="AA46" s="5"/>
      <c r="AB46" s="5"/>
      <c r="AC46" s="5"/>
      <c r="AD46" s="5"/>
      <c r="AE46" s="5">
        <f t="shared" si="0"/>
        <v>0</v>
      </c>
      <c r="AF46" s="5"/>
    </row>
    <row r="47" spans="1:32" ht="15.75" customHeight="1" x14ac:dyDescent="0.2">
      <c r="A47" s="3" t="s">
        <v>780</v>
      </c>
      <c r="B47" s="3" t="s">
        <v>106</v>
      </c>
      <c r="C47" s="3" t="s">
        <v>781</v>
      </c>
      <c r="D47" s="3" t="s">
        <v>782</v>
      </c>
      <c r="E47" s="3" t="s">
        <v>783</v>
      </c>
      <c r="F47" s="3" t="s">
        <v>784</v>
      </c>
      <c r="G47" s="3" t="s">
        <v>785</v>
      </c>
      <c r="H47" s="3" t="s">
        <v>39</v>
      </c>
      <c r="I47" s="3" t="s">
        <v>786</v>
      </c>
      <c r="J47" s="3" t="s">
        <v>787</v>
      </c>
      <c r="K47" s="3" t="s">
        <v>788</v>
      </c>
      <c r="L47" s="3" t="s">
        <v>789</v>
      </c>
      <c r="M47" s="3" t="s">
        <v>790</v>
      </c>
      <c r="N47" s="3" t="s">
        <v>791</v>
      </c>
      <c r="O47" s="4" t="s">
        <v>792</v>
      </c>
      <c r="P47" s="4" t="s">
        <v>793</v>
      </c>
      <c r="Q47" s="3" t="s">
        <v>48</v>
      </c>
      <c r="R47" s="3"/>
      <c r="S47" s="3" t="s">
        <v>48</v>
      </c>
      <c r="T47" s="3"/>
      <c r="U47" s="4" t="s">
        <v>794</v>
      </c>
      <c r="V47" s="5" t="s">
        <v>795</v>
      </c>
      <c r="W47" s="5" t="s">
        <v>795</v>
      </c>
      <c r="X47" s="5">
        <v>15</v>
      </c>
      <c r="Y47" s="5">
        <v>0</v>
      </c>
      <c r="Z47" s="5">
        <v>7</v>
      </c>
      <c r="AA47" s="5">
        <v>3</v>
      </c>
      <c r="AB47" s="5">
        <v>4</v>
      </c>
      <c r="AC47" s="5">
        <v>5</v>
      </c>
      <c r="AD47" s="5">
        <v>0</v>
      </c>
      <c r="AE47" s="5">
        <f t="shared" si="0"/>
        <v>34</v>
      </c>
      <c r="AF47" s="5" t="s">
        <v>355</v>
      </c>
    </row>
    <row r="48" spans="1:32" ht="15.75" customHeight="1" x14ac:dyDescent="0.2">
      <c r="A48" s="3" t="s">
        <v>796</v>
      </c>
      <c r="B48" s="3" t="s">
        <v>55</v>
      </c>
      <c r="C48" s="3" t="s">
        <v>797</v>
      </c>
      <c r="D48" s="3" t="s">
        <v>798</v>
      </c>
      <c r="E48" s="3" t="s">
        <v>799</v>
      </c>
      <c r="F48" s="3" t="s">
        <v>800</v>
      </c>
      <c r="G48" s="3" t="s">
        <v>801</v>
      </c>
      <c r="H48" s="3" t="s">
        <v>94</v>
      </c>
      <c r="I48" s="3" t="s">
        <v>802</v>
      </c>
      <c r="J48" s="3" t="s">
        <v>803</v>
      </c>
      <c r="K48" s="3" t="s">
        <v>804</v>
      </c>
      <c r="L48" s="3" t="s">
        <v>805</v>
      </c>
      <c r="M48" s="3" t="s">
        <v>806</v>
      </c>
      <c r="N48" s="3" t="s">
        <v>807</v>
      </c>
      <c r="O48" s="4" t="s">
        <v>808</v>
      </c>
      <c r="P48" s="4" t="s">
        <v>809</v>
      </c>
      <c r="Q48" s="3" t="s">
        <v>48</v>
      </c>
      <c r="R48" s="3"/>
      <c r="S48" s="3" t="s">
        <v>49</v>
      </c>
      <c r="T48" s="3"/>
      <c r="U48" s="4" t="s">
        <v>810</v>
      </c>
      <c r="V48" s="5" t="s">
        <v>811</v>
      </c>
      <c r="W48" s="5"/>
      <c r="X48" s="5"/>
      <c r="Y48" s="5"/>
      <c r="Z48" s="5"/>
      <c r="AA48" s="5"/>
      <c r="AB48" s="5"/>
      <c r="AC48" s="5"/>
      <c r="AD48" s="5"/>
      <c r="AE48" s="5">
        <f t="shared" si="0"/>
        <v>0</v>
      </c>
      <c r="AF48" s="5"/>
    </row>
    <row r="49" spans="1:32" ht="15.75" customHeight="1" x14ac:dyDescent="0.2">
      <c r="A49" s="3" t="s">
        <v>812</v>
      </c>
      <c r="B49" s="3" t="s">
        <v>55</v>
      </c>
      <c r="C49" s="3" t="s">
        <v>813</v>
      </c>
      <c r="D49" s="3" t="s">
        <v>814</v>
      </c>
      <c r="E49" s="3" t="s">
        <v>815</v>
      </c>
      <c r="F49" s="3" t="s">
        <v>816</v>
      </c>
      <c r="G49" s="3" t="s">
        <v>817</v>
      </c>
      <c r="H49" s="3" t="s">
        <v>94</v>
      </c>
      <c r="I49" s="3" t="s">
        <v>818</v>
      </c>
      <c r="J49" s="3" t="s">
        <v>819</v>
      </c>
      <c r="K49" s="3" t="s">
        <v>820</v>
      </c>
      <c r="L49" s="3" t="s">
        <v>821</v>
      </c>
      <c r="M49" s="3" t="s">
        <v>822</v>
      </c>
      <c r="N49" s="3" t="s">
        <v>823</v>
      </c>
      <c r="O49" s="4" t="s">
        <v>824</v>
      </c>
      <c r="P49" s="4" t="s">
        <v>825</v>
      </c>
      <c r="Q49" s="3" t="s">
        <v>48</v>
      </c>
      <c r="R49" s="3"/>
      <c r="S49" s="3" t="s">
        <v>48</v>
      </c>
      <c r="T49" s="3"/>
      <c r="U49" s="4" t="s">
        <v>826</v>
      </c>
      <c r="V49" s="5" t="s">
        <v>827</v>
      </c>
      <c r="W49" s="5"/>
      <c r="X49" s="5"/>
      <c r="Y49" s="5"/>
      <c r="Z49" s="5"/>
      <c r="AA49" s="5"/>
      <c r="AB49" s="5"/>
      <c r="AC49" s="5"/>
      <c r="AD49" s="5"/>
      <c r="AE49" s="5">
        <f t="shared" si="0"/>
        <v>0</v>
      </c>
      <c r="AF49" s="5"/>
    </row>
    <row r="50" spans="1:32" ht="15.75" customHeight="1" x14ac:dyDescent="0.2">
      <c r="A50" s="3" t="s">
        <v>828</v>
      </c>
      <c r="B50" s="3" t="s">
        <v>72</v>
      </c>
      <c r="C50" s="3" t="s">
        <v>829</v>
      </c>
      <c r="D50" s="3" t="s">
        <v>830</v>
      </c>
      <c r="E50" s="3" t="s">
        <v>831</v>
      </c>
      <c r="F50" s="3" t="s">
        <v>832</v>
      </c>
      <c r="G50" s="3" t="s">
        <v>833</v>
      </c>
      <c r="H50" s="3" t="s">
        <v>39</v>
      </c>
      <c r="I50" s="3" t="s">
        <v>834</v>
      </c>
      <c r="J50" s="3" t="s">
        <v>835</v>
      </c>
      <c r="K50" s="3" t="s">
        <v>836</v>
      </c>
      <c r="L50" s="3" t="s">
        <v>837</v>
      </c>
      <c r="M50" s="3" t="s">
        <v>838</v>
      </c>
      <c r="N50" s="3" t="s">
        <v>839</v>
      </c>
      <c r="O50" s="4" t="s">
        <v>840</v>
      </c>
      <c r="P50" s="4" t="s">
        <v>841</v>
      </c>
      <c r="Q50" s="3" t="s">
        <v>49</v>
      </c>
      <c r="R50" s="3"/>
      <c r="S50" s="3" t="s">
        <v>49</v>
      </c>
      <c r="T50" s="3"/>
      <c r="U50" s="4" t="s">
        <v>842</v>
      </c>
      <c r="V50" s="5" t="s">
        <v>843</v>
      </c>
      <c r="W50" s="5" t="s">
        <v>843</v>
      </c>
      <c r="X50" s="5">
        <v>5</v>
      </c>
      <c r="Y50" s="5">
        <v>0</v>
      </c>
      <c r="Z50" s="5">
        <v>7</v>
      </c>
      <c r="AA50" s="5">
        <v>1</v>
      </c>
      <c r="AB50" s="5">
        <v>2</v>
      </c>
      <c r="AC50" s="5">
        <v>5</v>
      </c>
      <c r="AD50" s="5">
        <v>0</v>
      </c>
      <c r="AE50" s="5">
        <f t="shared" si="0"/>
        <v>20</v>
      </c>
      <c r="AF50" s="5" t="s">
        <v>53</v>
      </c>
    </row>
    <row r="51" spans="1:32" ht="15.75" customHeight="1" x14ac:dyDescent="0.2">
      <c r="A51" s="3" t="s">
        <v>844</v>
      </c>
      <c r="B51" s="3" t="s">
        <v>55</v>
      </c>
      <c r="C51" s="3" t="s">
        <v>845</v>
      </c>
      <c r="D51" s="3" t="s">
        <v>846</v>
      </c>
      <c r="E51" s="3" t="s">
        <v>847</v>
      </c>
      <c r="F51" s="3" t="s">
        <v>848</v>
      </c>
      <c r="G51" s="3" t="s">
        <v>849</v>
      </c>
      <c r="H51" s="3" t="s">
        <v>39</v>
      </c>
      <c r="I51" s="3" t="s">
        <v>850</v>
      </c>
      <c r="J51" s="3" t="s">
        <v>851</v>
      </c>
      <c r="K51" s="3" t="s">
        <v>852</v>
      </c>
      <c r="L51" s="3" t="s">
        <v>853</v>
      </c>
      <c r="M51" s="3" t="s">
        <v>854</v>
      </c>
      <c r="N51" s="3" t="s">
        <v>855</v>
      </c>
      <c r="O51" s="4" t="s">
        <v>856</v>
      </c>
      <c r="P51" s="4" t="s">
        <v>857</v>
      </c>
      <c r="Q51" s="3" t="s">
        <v>48</v>
      </c>
      <c r="R51" s="3"/>
      <c r="S51" s="3" t="s">
        <v>49</v>
      </c>
      <c r="T51" s="3"/>
      <c r="U51" s="4" t="s">
        <v>858</v>
      </c>
      <c r="V51" s="5" t="s">
        <v>859</v>
      </c>
      <c r="W51" s="5" t="s">
        <v>859</v>
      </c>
      <c r="X51" s="5">
        <v>20</v>
      </c>
      <c r="Y51" s="5">
        <v>3</v>
      </c>
      <c r="Z51" s="5">
        <v>7</v>
      </c>
      <c r="AA51" s="5">
        <v>3</v>
      </c>
      <c r="AB51" s="5">
        <v>4</v>
      </c>
      <c r="AC51" s="5">
        <v>0</v>
      </c>
      <c r="AD51" s="5">
        <v>0</v>
      </c>
      <c r="AE51" s="5">
        <f t="shared" si="0"/>
        <v>37</v>
      </c>
      <c r="AF51" s="5" t="s">
        <v>535</v>
      </c>
    </row>
    <row r="52" spans="1:32" ht="15.75" customHeight="1" x14ac:dyDescent="0.2">
      <c r="A52" s="3" t="s">
        <v>860</v>
      </c>
      <c r="B52" s="3" t="s">
        <v>55</v>
      </c>
      <c r="C52" s="3" t="s">
        <v>861</v>
      </c>
      <c r="D52" s="3" t="s">
        <v>862</v>
      </c>
      <c r="E52" s="3" t="s">
        <v>863</v>
      </c>
      <c r="F52" s="3" t="s">
        <v>864</v>
      </c>
      <c r="G52" s="3" t="s">
        <v>865</v>
      </c>
      <c r="H52" s="3" t="s">
        <v>94</v>
      </c>
      <c r="I52" s="3" t="s">
        <v>866</v>
      </c>
      <c r="J52" s="3" t="s">
        <v>867</v>
      </c>
      <c r="K52" s="3" t="s">
        <v>868</v>
      </c>
      <c r="L52" s="3" t="s">
        <v>869</v>
      </c>
      <c r="M52" s="3" t="s">
        <v>870</v>
      </c>
      <c r="N52" s="3" t="s">
        <v>871</v>
      </c>
      <c r="O52" s="4" t="s">
        <v>872</v>
      </c>
      <c r="P52" s="4" t="s">
        <v>873</v>
      </c>
      <c r="Q52" s="3" t="s">
        <v>48</v>
      </c>
      <c r="R52" s="3"/>
      <c r="S52" s="3" t="s">
        <v>48</v>
      </c>
      <c r="T52" s="3"/>
      <c r="U52" s="4" t="s">
        <v>874</v>
      </c>
      <c r="V52" s="5" t="s">
        <v>875</v>
      </c>
      <c r="W52" s="5"/>
      <c r="X52" s="5">
        <v>0</v>
      </c>
      <c r="Y52" s="5">
        <v>1</v>
      </c>
      <c r="Z52" s="5">
        <v>5</v>
      </c>
      <c r="AA52" s="5">
        <v>1</v>
      </c>
      <c r="AB52" s="5">
        <v>0</v>
      </c>
      <c r="AC52" s="5">
        <v>0</v>
      </c>
      <c r="AD52" s="5">
        <v>5</v>
      </c>
      <c r="AE52" s="5">
        <f t="shared" si="0"/>
        <v>12</v>
      </c>
      <c r="AF52" s="5" t="s">
        <v>53</v>
      </c>
    </row>
    <row r="53" spans="1:32" ht="15.75" customHeight="1" x14ac:dyDescent="0.2">
      <c r="A53" s="3" t="s">
        <v>876</v>
      </c>
      <c r="B53" s="3" t="s">
        <v>72</v>
      </c>
      <c r="C53" s="3" t="s">
        <v>877</v>
      </c>
      <c r="D53" s="3" t="s">
        <v>878</v>
      </c>
      <c r="E53" s="3" t="s">
        <v>879</v>
      </c>
      <c r="F53" s="3" t="s">
        <v>880</v>
      </c>
      <c r="G53" s="3" t="s">
        <v>881</v>
      </c>
      <c r="H53" s="3" t="s">
        <v>39</v>
      </c>
      <c r="I53" s="3" t="s">
        <v>754</v>
      </c>
      <c r="J53" s="3" t="s">
        <v>882</v>
      </c>
      <c r="K53" s="3" t="s">
        <v>883</v>
      </c>
      <c r="L53" s="3" t="s">
        <v>884</v>
      </c>
      <c r="M53" s="3" t="s">
        <v>885</v>
      </c>
      <c r="N53" s="3" t="s">
        <v>886</v>
      </c>
      <c r="O53" s="4" t="s">
        <v>887</v>
      </c>
      <c r="P53" s="4" t="s">
        <v>888</v>
      </c>
      <c r="Q53" s="3" t="s">
        <v>48</v>
      </c>
      <c r="R53" s="3"/>
      <c r="S53" s="3" t="s">
        <v>48</v>
      </c>
      <c r="T53" s="3"/>
      <c r="U53" s="4" t="s">
        <v>889</v>
      </c>
      <c r="V53" s="5" t="s">
        <v>890</v>
      </c>
      <c r="W53" s="5" t="s">
        <v>890</v>
      </c>
      <c r="X53" s="5">
        <v>25</v>
      </c>
      <c r="Y53" s="5">
        <v>1</v>
      </c>
      <c r="Z53" s="5">
        <v>7</v>
      </c>
      <c r="AA53" s="5">
        <v>3</v>
      </c>
      <c r="AB53" s="5">
        <v>2</v>
      </c>
      <c r="AC53" s="5">
        <v>5</v>
      </c>
      <c r="AD53" s="5">
        <v>0</v>
      </c>
      <c r="AE53" s="5">
        <f t="shared" si="0"/>
        <v>43</v>
      </c>
      <c r="AF53" s="5" t="s">
        <v>535</v>
      </c>
    </row>
    <row r="54" spans="1:32" ht="15.75" customHeight="1" x14ac:dyDescent="0.2">
      <c r="A54" s="3" t="s">
        <v>891</v>
      </c>
      <c r="B54" s="3" t="s">
        <v>106</v>
      </c>
      <c r="C54" s="3" t="s">
        <v>437</v>
      </c>
      <c r="D54" s="3" t="s">
        <v>892</v>
      </c>
      <c r="E54" s="3" t="s">
        <v>439</v>
      </c>
      <c r="F54" s="3" t="s">
        <v>440</v>
      </c>
      <c r="G54" s="3" t="s">
        <v>441</v>
      </c>
      <c r="H54" s="3" t="s">
        <v>94</v>
      </c>
      <c r="I54" s="3" t="s">
        <v>893</v>
      </c>
      <c r="J54" s="3" t="s">
        <v>79</v>
      </c>
      <c r="K54" s="3" t="s">
        <v>894</v>
      </c>
      <c r="L54" s="3" t="s">
        <v>895</v>
      </c>
      <c r="M54" s="3" t="s">
        <v>896</v>
      </c>
      <c r="N54" s="3" t="s">
        <v>897</v>
      </c>
      <c r="O54" s="4" t="s">
        <v>898</v>
      </c>
      <c r="P54" s="4" t="s">
        <v>899</v>
      </c>
      <c r="Q54" s="3" t="s">
        <v>49</v>
      </c>
      <c r="R54" s="3"/>
      <c r="S54" s="3" t="s">
        <v>48</v>
      </c>
      <c r="T54" s="3"/>
      <c r="U54" s="4" t="s">
        <v>900</v>
      </c>
      <c r="V54" s="5" t="s">
        <v>451</v>
      </c>
      <c r="W54" s="5" t="s">
        <v>452</v>
      </c>
      <c r="X54" s="5">
        <v>10</v>
      </c>
      <c r="Y54" s="5">
        <v>1</v>
      </c>
      <c r="Z54" s="5">
        <v>7</v>
      </c>
      <c r="AA54" s="5">
        <v>4</v>
      </c>
      <c r="AB54" s="5">
        <v>6</v>
      </c>
      <c r="AC54" s="5">
        <v>5</v>
      </c>
      <c r="AD54" s="5">
        <v>5</v>
      </c>
      <c r="AE54" s="5">
        <f t="shared" si="0"/>
        <v>38</v>
      </c>
      <c r="AF54" s="5" t="s">
        <v>336</v>
      </c>
    </row>
    <row r="55" spans="1:32" ht="15.75" customHeight="1" x14ac:dyDescent="0.2">
      <c r="A55" s="3" t="s">
        <v>901</v>
      </c>
      <c r="B55" s="3" t="s">
        <v>106</v>
      </c>
      <c r="C55" s="3" t="s">
        <v>902</v>
      </c>
      <c r="D55" s="3" t="s">
        <v>903</v>
      </c>
      <c r="E55" s="3" t="s">
        <v>904</v>
      </c>
      <c r="F55" s="3" t="s">
        <v>905</v>
      </c>
      <c r="G55" s="3" t="s">
        <v>906</v>
      </c>
      <c r="H55" s="3" t="s">
        <v>39</v>
      </c>
      <c r="I55" s="3" t="s">
        <v>907</v>
      </c>
      <c r="J55" s="3" t="s">
        <v>908</v>
      </c>
      <c r="K55" s="3" t="s">
        <v>909</v>
      </c>
      <c r="L55" s="3" t="s">
        <v>910</v>
      </c>
      <c r="M55" s="3" t="s">
        <v>911</v>
      </c>
      <c r="N55" s="3" t="s">
        <v>912</v>
      </c>
      <c r="O55" s="4" t="s">
        <v>913</v>
      </c>
      <c r="P55" s="4" t="s">
        <v>914</v>
      </c>
      <c r="Q55" s="3" t="s">
        <v>48</v>
      </c>
      <c r="R55" s="3" t="s">
        <v>48</v>
      </c>
      <c r="S55" s="3" t="s">
        <v>48</v>
      </c>
      <c r="T55" s="3" t="s">
        <v>48</v>
      </c>
      <c r="U55" s="4" t="s">
        <v>915</v>
      </c>
      <c r="V55" s="5" t="s">
        <v>916</v>
      </c>
      <c r="W55" s="5" t="s">
        <v>916</v>
      </c>
      <c r="X55" s="5">
        <v>15</v>
      </c>
      <c r="Y55" s="5">
        <v>0</v>
      </c>
      <c r="Z55" s="5">
        <v>8</v>
      </c>
      <c r="AA55" s="5">
        <v>3</v>
      </c>
      <c r="AB55" s="5">
        <v>2</v>
      </c>
      <c r="AC55" s="5">
        <v>5</v>
      </c>
      <c r="AD55" s="5">
        <v>0</v>
      </c>
      <c r="AE55" s="5">
        <f t="shared" si="0"/>
        <v>33</v>
      </c>
      <c r="AF55" s="5" t="s">
        <v>355</v>
      </c>
    </row>
    <row r="56" spans="1:32" ht="15.75" customHeight="1" x14ac:dyDescent="0.2">
      <c r="A56" s="3" t="s">
        <v>917</v>
      </c>
      <c r="B56" s="3" t="s">
        <v>239</v>
      </c>
      <c r="C56" s="3" t="s">
        <v>918</v>
      </c>
      <c r="D56" s="3" t="s">
        <v>919</v>
      </c>
      <c r="E56" s="3" t="s">
        <v>920</v>
      </c>
      <c r="F56" s="3" t="s">
        <v>921</v>
      </c>
      <c r="G56" s="3" t="s">
        <v>922</v>
      </c>
      <c r="H56" s="3" t="s">
        <v>39</v>
      </c>
      <c r="I56" s="3" t="s">
        <v>923</v>
      </c>
      <c r="J56" s="3" t="s">
        <v>924</v>
      </c>
      <c r="K56" s="3" t="s">
        <v>925</v>
      </c>
      <c r="L56" s="3" t="s">
        <v>926</v>
      </c>
      <c r="M56" s="3" t="s">
        <v>927</v>
      </c>
      <c r="N56" s="3" t="s">
        <v>928</v>
      </c>
      <c r="O56" s="4" t="s">
        <v>929</v>
      </c>
      <c r="P56" s="4" t="s">
        <v>930</v>
      </c>
      <c r="Q56" s="3" t="s">
        <v>48</v>
      </c>
      <c r="R56" s="3"/>
      <c r="S56" s="3" t="s">
        <v>48</v>
      </c>
      <c r="T56" s="3" t="s">
        <v>931</v>
      </c>
      <c r="U56" s="4" t="s">
        <v>932</v>
      </c>
      <c r="V56" s="5" t="s">
        <v>933</v>
      </c>
      <c r="W56" s="5"/>
      <c r="X56" s="5"/>
      <c r="Y56" s="5"/>
      <c r="Z56" s="5"/>
      <c r="AA56" s="5"/>
      <c r="AB56" s="5"/>
      <c r="AC56" s="5"/>
      <c r="AD56" s="5"/>
      <c r="AE56" s="5">
        <f t="shared" si="0"/>
        <v>0</v>
      </c>
      <c r="AF56" s="5"/>
    </row>
    <row r="57" spans="1:32" ht="15.75" customHeight="1" x14ac:dyDescent="0.2">
      <c r="A57" s="3" t="s">
        <v>934</v>
      </c>
      <c r="B57" s="3" t="s">
        <v>72</v>
      </c>
      <c r="C57" s="3" t="s">
        <v>935</v>
      </c>
      <c r="D57" s="3" t="s">
        <v>936</v>
      </c>
      <c r="E57" s="3" t="s">
        <v>937</v>
      </c>
      <c r="F57" s="3" t="s">
        <v>938</v>
      </c>
      <c r="G57" s="3" t="s">
        <v>939</v>
      </c>
      <c r="H57" s="3" t="s">
        <v>39</v>
      </c>
      <c r="I57" s="3" t="s">
        <v>940</v>
      </c>
      <c r="J57" s="3" t="s">
        <v>941</v>
      </c>
      <c r="K57" s="3" t="s">
        <v>942</v>
      </c>
      <c r="L57" s="3" t="s">
        <v>943</v>
      </c>
      <c r="M57" s="3" t="s">
        <v>944</v>
      </c>
      <c r="N57" s="3" t="s">
        <v>945</v>
      </c>
      <c r="O57" s="4" t="s">
        <v>946</v>
      </c>
      <c r="P57" s="4" t="s">
        <v>947</v>
      </c>
      <c r="Q57" s="3" t="s">
        <v>48</v>
      </c>
      <c r="R57" s="3" t="s">
        <v>948</v>
      </c>
      <c r="S57" s="3" t="s">
        <v>48</v>
      </c>
      <c r="T57" s="3"/>
      <c r="U57" s="4" t="s">
        <v>949</v>
      </c>
      <c r="V57" s="5" t="s">
        <v>950</v>
      </c>
      <c r="W57" s="5" t="s">
        <v>950</v>
      </c>
      <c r="X57" s="5">
        <v>15</v>
      </c>
      <c r="Y57" s="5">
        <v>1</v>
      </c>
      <c r="Z57" s="5">
        <v>5</v>
      </c>
      <c r="AA57" s="5">
        <v>4</v>
      </c>
      <c r="AB57" s="5">
        <v>4</v>
      </c>
      <c r="AC57" s="5">
        <v>5</v>
      </c>
      <c r="AD57" s="5">
        <v>0</v>
      </c>
      <c r="AE57" s="5">
        <f t="shared" si="0"/>
        <v>34</v>
      </c>
      <c r="AF57" s="5" t="s">
        <v>355</v>
      </c>
    </row>
    <row r="58" spans="1:32" ht="15.75" customHeight="1" x14ac:dyDescent="0.2">
      <c r="A58" s="3" t="s">
        <v>951</v>
      </c>
      <c r="B58" s="3" t="s">
        <v>55</v>
      </c>
      <c r="C58" s="3" t="s">
        <v>952</v>
      </c>
      <c r="D58" s="3" t="s">
        <v>953</v>
      </c>
      <c r="E58" s="3" t="s">
        <v>954</v>
      </c>
      <c r="F58" s="3" t="s">
        <v>955</v>
      </c>
      <c r="G58" s="3" t="s">
        <v>956</v>
      </c>
      <c r="H58" s="3" t="s">
        <v>39</v>
      </c>
      <c r="I58" s="3" t="s">
        <v>957</v>
      </c>
      <c r="J58" s="3" t="s">
        <v>958</v>
      </c>
      <c r="K58" s="3" t="s">
        <v>959</v>
      </c>
      <c r="L58" s="3" t="s">
        <v>960</v>
      </c>
      <c r="M58" s="3" t="s">
        <v>961</v>
      </c>
      <c r="N58" s="3" t="s">
        <v>962</v>
      </c>
      <c r="O58" s="4" t="s">
        <v>963</v>
      </c>
      <c r="P58" s="4" t="s">
        <v>964</v>
      </c>
      <c r="Q58" s="3" t="s">
        <v>49</v>
      </c>
      <c r="R58" s="3"/>
      <c r="S58" s="3" t="s">
        <v>49</v>
      </c>
      <c r="T58" s="3"/>
      <c r="U58" s="4" t="s">
        <v>965</v>
      </c>
      <c r="V58" s="5" t="s">
        <v>966</v>
      </c>
      <c r="W58" s="5" t="s">
        <v>966</v>
      </c>
      <c r="X58" s="5">
        <v>25</v>
      </c>
      <c r="Y58" s="5">
        <v>0</v>
      </c>
      <c r="Z58" s="5">
        <v>5</v>
      </c>
      <c r="AA58" s="5">
        <v>3</v>
      </c>
      <c r="AB58" s="5">
        <v>2</v>
      </c>
      <c r="AC58" s="5">
        <v>0</v>
      </c>
      <c r="AD58" s="5">
        <v>0</v>
      </c>
      <c r="AE58" s="5">
        <f t="shared" si="0"/>
        <v>35</v>
      </c>
      <c r="AF58" s="5" t="s">
        <v>535</v>
      </c>
    </row>
    <row r="59" spans="1:32" ht="15.75" customHeight="1" x14ac:dyDescent="0.2">
      <c r="A59" s="3" t="s">
        <v>967</v>
      </c>
      <c r="B59" s="3" t="s">
        <v>968</v>
      </c>
      <c r="C59" s="3" t="s">
        <v>969</v>
      </c>
      <c r="D59" s="3" t="s">
        <v>970</v>
      </c>
      <c r="E59" s="3" t="s">
        <v>971</v>
      </c>
      <c r="F59" s="3" t="s">
        <v>972</v>
      </c>
      <c r="G59" s="3" t="s">
        <v>973</v>
      </c>
      <c r="H59" s="3" t="s">
        <v>39</v>
      </c>
      <c r="I59" s="3" t="s">
        <v>974</v>
      </c>
      <c r="J59" s="3" t="s">
        <v>975</v>
      </c>
      <c r="K59" s="3" t="s">
        <v>976</v>
      </c>
      <c r="L59" s="3" t="s">
        <v>977</v>
      </c>
      <c r="M59" s="3" t="s">
        <v>978</v>
      </c>
      <c r="N59" s="3" t="s">
        <v>979</v>
      </c>
      <c r="O59" s="4" t="s">
        <v>980</v>
      </c>
      <c r="P59" s="4" t="s">
        <v>981</v>
      </c>
      <c r="Q59" s="3" t="s">
        <v>48</v>
      </c>
      <c r="R59" s="3"/>
      <c r="S59" s="3" t="s">
        <v>49</v>
      </c>
      <c r="T59" s="3"/>
      <c r="U59" s="4" t="s">
        <v>982</v>
      </c>
      <c r="V59" s="5" t="s">
        <v>983</v>
      </c>
      <c r="W59" s="5" t="s">
        <v>984</v>
      </c>
      <c r="X59" s="5">
        <v>10</v>
      </c>
      <c r="Y59" s="5">
        <v>1</v>
      </c>
      <c r="Z59" s="5">
        <v>6</v>
      </c>
      <c r="AA59" s="5">
        <v>3</v>
      </c>
      <c r="AB59" s="5">
        <v>2</v>
      </c>
      <c r="AC59" s="5">
        <v>5</v>
      </c>
      <c r="AD59" s="5">
        <v>0</v>
      </c>
      <c r="AE59" s="5">
        <f t="shared" si="0"/>
        <v>27</v>
      </c>
      <c r="AF59" s="5" t="s">
        <v>53</v>
      </c>
    </row>
    <row r="60" spans="1:32" ht="15.75" customHeight="1" x14ac:dyDescent="0.2">
      <c r="A60" s="3" t="s">
        <v>985</v>
      </c>
      <c r="B60" s="3" t="s">
        <v>106</v>
      </c>
      <c r="C60" s="3" t="s">
        <v>986</v>
      </c>
      <c r="D60" s="3" t="s">
        <v>987</v>
      </c>
      <c r="E60" s="3" t="s">
        <v>988</v>
      </c>
      <c r="F60" s="3" t="s">
        <v>989</v>
      </c>
      <c r="G60" s="3" t="s">
        <v>990</v>
      </c>
      <c r="H60" s="3" t="s">
        <v>39</v>
      </c>
      <c r="I60" s="3" t="s">
        <v>991</v>
      </c>
      <c r="J60" s="3" t="s">
        <v>79</v>
      </c>
      <c r="K60" s="3" t="s">
        <v>992</v>
      </c>
      <c r="L60" s="3" t="s">
        <v>993</v>
      </c>
      <c r="M60" s="3" t="s">
        <v>994</v>
      </c>
      <c r="N60" s="3" t="s">
        <v>995</v>
      </c>
      <c r="O60" s="4" t="s">
        <v>996</v>
      </c>
      <c r="P60" s="4" t="s">
        <v>997</v>
      </c>
      <c r="Q60" s="3" t="s">
        <v>48</v>
      </c>
      <c r="R60" s="3" t="s">
        <v>550</v>
      </c>
      <c r="S60" s="3" t="s">
        <v>48</v>
      </c>
      <c r="T60" s="3" t="s">
        <v>998</v>
      </c>
      <c r="U60" s="4" t="s">
        <v>999</v>
      </c>
      <c r="V60" s="5" t="s">
        <v>1000</v>
      </c>
      <c r="W60" s="5"/>
      <c r="X60" s="5">
        <v>0</v>
      </c>
      <c r="Y60" s="5">
        <v>1</v>
      </c>
      <c r="Z60" s="5">
        <v>6</v>
      </c>
      <c r="AA60" s="5">
        <v>3</v>
      </c>
      <c r="AB60" s="5">
        <v>0</v>
      </c>
      <c r="AC60" s="5">
        <v>5</v>
      </c>
      <c r="AD60" s="5">
        <v>0</v>
      </c>
      <c r="AE60" s="5">
        <f t="shared" si="0"/>
        <v>15</v>
      </c>
      <c r="AF60" s="5" t="s">
        <v>53</v>
      </c>
    </row>
    <row r="61" spans="1:32" ht="15.75" customHeight="1" x14ac:dyDescent="0.2">
      <c r="A61" s="3" t="s">
        <v>1001</v>
      </c>
      <c r="B61" s="3" t="s">
        <v>106</v>
      </c>
      <c r="C61" s="3" t="s">
        <v>1002</v>
      </c>
      <c r="D61" s="3" t="s">
        <v>1003</v>
      </c>
      <c r="E61" s="3" t="s">
        <v>1004</v>
      </c>
      <c r="F61" s="3" t="s">
        <v>1005</v>
      </c>
      <c r="G61" s="3" t="s">
        <v>1006</v>
      </c>
      <c r="H61" s="3" t="s">
        <v>39</v>
      </c>
      <c r="I61" s="3" t="s">
        <v>1007</v>
      </c>
      <c r="J61" s="3" t="s">
        <v>1008</v>
      </c>
      <c r="K61" s="3" t="s">
        <v>1009</v>
      </c>
      <c r="L61" s="3" t="s">
        <v>1010</v>
      </c>
      <c r="M61" s="3" t="s">
        <v>1011</v>
      </c>
      <c r="N61" s="3" t="s">
        <v>1012</v>
      </c>
      <c r="O61" s="4" t="s">
        <v>1013</v>
      </c>
      <c r="P61" s="4" t="s">
        <v>1014</v>
      </c>
      <c r="Q61" s="3" t="s">
        <v>48</v>
      </c>
      <c r="R61" s="3"/>
      <c r="S61" s="3" t="s">
        <v>48</v>
      </c>
      <c r="T61" s="3"/>
      <c r="U61" s="4" t="s">
        <v>1015</v>
      </c>
      <c r="V61" s="5" t="s">
        <v>1016</v>
      </c>
      <c r="W61" s="5"/>
      <c r="X61" s="5"/>
      <c r="Y61" s="5"/>
      <c r="Z61" s="5"/>
      <c r="AA61" s="5"/>
      <c r="AB61" s="5"/>
      <c r="AC61" s="5"/>
      <c r="AD61" s="5"/>
      <c r="AE61" s="5">
        <f t="shared" si="0"/>
        <v>0</v>
      </c>
      <c r="AF61" s="5"/>
    </row>
    <row r="62" spans="1:32" ht="15.75" customHeight="1" x14ac:dyDescent="0.2">
      <c r="A62" s="3" t="s">
        <v>1017</v>
      </c>
      <c r="B62" s="3" t="s">
        <v>239</v>
      </c>
      <c r="C62" s="3" t="s">
        <v>1018</v>
      </c>
      <c r="D62" s="3" t="s">
        <v>1019</v>
      </c>
      <c r="E62" s="3" t="s">
        <v>1020</v>
      </c>
      <c r="F62" s="3" t="s">
        <v>1021</v>
      </c>
      <c r="G62" s="3" t="s">
        <v>1022</v>
      </c>
      <c r="H62" s="3" t="s">
        <v>39</v>
      </c>
      <c r="I62" s="3" t="s">
        <v>1023</v>
      </c>
      <c r="J62" s="3" t="s">
        <v>1024</v>
      </c>
      <c r="K62" s="3" t="s">
        <v>1025</v>
      </c>
      <c r="L62" s="3" t="s">
        <v>1026</v>
      </c>
      <c r="M62" s="3" t="s">
        <v>1027</v>
      </c>
      <c r="N62" s="3" t="s">
        <v>1028</v>
      </c>
      <c r="O62" s="4" t="s">
        <v>1029</v>
      </c>
      <c r="P62" s="4" t="s">
        <v>1030</v>
      </c>
      <c r="Q62" s="3" t="s">
        <v>48</v>
      </c>
      <c r="R62" s="3"/>
      <c r="S62" s="3" t="s">
        <v>48</v>
      </c>
      <c r="T62" s="3"/>
      <c r="U62" s="4" t="s">
        <v>1031</v>
      </c>
      <c r="V62" s="5" t="s">
        <v>1032</v>
      </c>
      <c r="W62" s="5"/>
      <c r="X62" s="5">
        <v>0</v>
      </c>
      <c r="Y62" s="5">
        <v>0</v>
      </c>
      <c r="Z62" s="5">
        <v>5</v>
      </c>
      <c r="AA62" s="5">
        <v>2</v>
      </c>
      <c r="AB62" s="5">
        <v>0</v>
      </c>
      <c r="AC62" s="5">
        <v>5</v>
      </c>
      <c r="AD62" s="5">
        <v>0</v>
      </c>
      <c r="AE62" s="5">
        <f t="shared" si="0"/>
        <v>12</v>
      </c>
      <c r="AF62" s="5" t="s">
        <v>53</v>
      </c>
    </row>
    <row r="63" spans="1:32" ht="15.75" customHeight="1" x14ac:dyDescent="0.2">
      <c r="A63" s="3" t="s">
        <v>1033</v>
      </c>
      <c r="B63" s="3" t="s">
        <v>72</v>
      </c>
      <c r="C63" s="3" t="s">
        <v>1034</v>
      </c>
      <c r="D63" s="3" t="s">
        <v>1035</v>
      </c>
      <c r="E63" s="3" t="s">
        <v>1036</v>
      </c>
      <c r="F63" s="3" t="s">
        <v>1037</v>
      </c>
      <c r="G63" s="3" t="s">
        <v>1038</v>
      </c>
      <c r="H63" s="3" t="s">
        <v>39</v>
      </c>
      <c r="I63" s="3" t="s">
        <v>1039</v>
      </c>
      <c r="J63" s="3" t="s">
        <v>278</v>
      </c>
      <c r="K63" s="3" t="s">
        <v>1040</v>
      </c>
      <c r="L63" s="3" t="s">
        <v>1041</v>
      </c>
      <c r="M63" s="3" t="s">
        <v>1042</v>
      </c>
      <c r="N63" s="3" t="s">
        <v>1043</v>
      </c>
      <c r="O63" s="4" t="s">
        <v>1044</v>
      </c>
      <c r="P63" s="4" t="s">
        <v>1045</v>
      </c>
      <c r="Q63" s="3" t="s">
        <v>48</v>
      </c>
      <c r="R63" s="3"/>
      <c r="S63" s="3" t="s">
        <v>49</v>
      </c>
      <c r="T63" s="3"/>
      <c r="U63" s="4" t="s">
        <v>1046</v>
      </c>
      <c r="V63" s="5" t="s">
        <v>1047</v>
      </c>
      <c r="W63" s="5"/>
      <c r="X63" s="5"/>
      <c r="Y63" s="5"/>
      <c r="Z63" s="5"/>
      <c r="AA63" s="5"/>
      <c r="AB63" s="5"/>
      <c r="AC63" s="5"/>
      <c r="AD63" s="5"/>
      <c r="AE63" s="5">
        <f t="shared" si="0"/>
        <v>0</v>
      </c>
      <c r="AF63" s="5"/>
    </row>
    <row r="64" spans="1:32" ht="15.75" customHeight="1" x14ac:dyDescent="0.2">
      <c r="A64" s="3" t="s">
        <v>1048</v>
      </c>
      <c r="B64" s="3" t="s">
        <v>106</v>
      </c>
      <c r="C64" s="3" t="s">
        <v>1049</v>
      </c>
      <c r="D64" s="3" t="s">
        <v>987</v>
      </c>
      <c r="E64" s="3" t="s">
        <v>1050</v>
      </c>
      <c r="F64" s="3" t="s">
        <v>1051</v>
      </c>
      <c r="G64" s="3" t="s">
        <v>1052</v>
      </c>
      <c r="H64" s="3" t="s">
        <v>39</v>
      </c>
      <c r="I64" s="3" t="s">
        <v>1053</v>
      </c>
      <c r="J64" s="3" t="s">
        <v>1054</v>
      </c>
      <c r="K64" s="3" t="s">
        <v>1055</v>
      </c>
      <c r="L64" s="3" t="s">
        <v>1056</v>
      </c>
      <c r="M64" s="3" t="s">
        <v>1057</v>
      </c>
      <c r="N64" s="3" t="s">
        <v>1058</v>
      </c>
      <c r="O64" s="4" t="s">
        <v>1059</v>
      </c>
      <c r="P64" s="4" t="s">
        <v>1060</v>
      </c>
      <c r="Q64" s="3" t="s">
        <v>48</v>
      </c>
      <c r="R64" s="3"/>
      <c r="S64" s="3" t="s">
        <v>48</v>
      </c>
      <c r="T64" s="3"/>
      <c r="U64" s="4" t="s">
        <v>1061</v>
      </c>
      <c r="V64" s="5" t="s">
        <v>1062</v>
      </c>
      <c r="W64" s="5" t="s">
        <v>1063</v>
      </c>
      <c r="X64" s="5">
        <v>15</v>
      </c>
      <c r="Y64" s="5">
        <v>0</v>
      </c>
      <c r="Z64" s="5">
        <v>3</v>
      </c>
      <c r="AA64" s="5">
        <v>2</v>
      </c>
      <c r="AB64" s="5">
        <v>6</v>
      </c>
      <c r="AC64" s="5">
        <v>5</v>
      </c>
      <c r="AD64" s="5">
        <v>0</v>
      </c>
      <c r="AE64" s="5">
        <f t="shared" si="0"/>
        <v>31</v>
      </c>
      <c r="AF64" s="5" t="s">
        <v>1064</v>
      </c>
    </row>
    <row r="65" spans="1:32" ht="15.75" customHeight="1" x14ac:dyDescent="0.2">
      <c r="A65" s="3" t="s">
        <v>1065</v>
      </c>
      <c r="B65" s="3" t="s">
        <v>106</v>
      </c>
      <c r="C65" s="3" t="s">
        <v>1066</v>
      </c>
      <c r="D65" s="3" t="s">
        <v>1067</v>
      </c>
      <c r="E65" s="3" t="s">
        <v>1068</v>
      </c>
      <c r="F65" s="3" t="s">
        <v>1069</v>
      </c>
      <c r="G65" s="3" t="s">
        <v>1070</v>
      </c>
      <c r="H65" s="3" t="s">
        <v>39</v>
      </c>
      <c r="I65" s="3" t="s">
        <v>657</v>
      </c>
      <c r="J65" s="3" t="s">
        <v>1071</v>
      </c>
      <c r="K65" s="3" t="s">
        <v>1072</v>
      </c>
      <c r="L65" s="3" t="s">
        <v>1073</v>
      </c>
      <c r="M65" s="3" t="s">
        <v>1074</v>
      </c>
      <c r="N65" s="3" t="s">
        <v>1075</v>
      </c>
      <c r="O65" s="4" t="s">
        <v>1076</v>
      </c>
      <c r="P65" s="4" t="s">
        <v>1077</v>
      </c>
      <c r="Q65" s="3" t="s">
        <v>49</v>
      </c>
      <c r="R65" s="3"/>
      <c r="S65" s="3" t="s">
        <v>49</v>
      </c>
      <c r="T65" s="3"/>
      <c r="U65" s="4" t="s">
        <v>1078</v>
      </c>
      <c r="V65" s="5" t="s">
        <v>1079</v>
      </c>
      <c r="W65" s="5"/>
      <c r="X65" s="5">
        <v>0</v>
      </c>
      <c r="Y65" s="5">
        <v>2</v>
      </c>
      <c r="Z65" s="5">
        <v>5</v>
      </c>
      <c r="AA65" s="5">
        <v>4</v>
      </c>
      <c r="AB65" s="5">
        <v>0</v>
      </c>
      <c r="AC65" s="5">
        <v>5</v>
      </c>
      <c r="AD65" s="5">
        <v>0</v>
      </c>
      <c r="AE65" s="5">
        <f t="shared" si="0"/>
        <v>16</v>
      </c>
      <c r="AF65" s="5" t="s">
        <v>53</v>
      </c>
    </row>
    <row r="66" spans="1:32" ht="15.75" customHeight="1" x14ac:dyDescent="0.2">
      <c r="A66" s="3" t="s">
        <v>1080</v>
      </c>
      <c r="B66" s="3" t="s">
        <v>239</v>
      </c>
      <c r="C66" s="3" t="s">
        <v>1081</v>
      </c>
      <c r="D66" s="3" t="s">
        <v>1082</v>
      </c>
      <c r="E66" s="3" t="s">
        <v>1083</v>
      </c>
      <c r="F66" s="3" t="s">
        <v>1084</v>
      </c>
      <c r="G66" s="3" t="s">
        <v>1085</v>
      </c>
      <c r="H66" s="3" t="s">
        <v>39</v>
      </c>
      <c r="I66" s="3" t="s">
        <v>1086</v>
      </c>
      <c r="J66" s="3" t="s">
        <v>1087</v>
      </c>
      <c r="K66" s="3" t="s">
        <v>1088</v>
      </c>
      <c r="L66" s="3" t="s">
        <v>1089</v>
      </c>
      <c r="M66" s="3" t="s">
        <v>1090</v>
      </c>
      <c r="N66" s="3" t="s">
        <v>1091</v>
      </c>
      <c r="O66" s="4" t="s">
        <v>1092</v>
      </c>
      <c r="P66" s="4" t="s">
        <v>1093</v>
      </c>
      <c r="Q66" s="3" t="s">
        <v>48</v>
      </c>
      <c r="R66" s="3"/>
      <c r="S66" s="3" t="s">
        <v>48</v>
      </c>
      <c r="T66" s="3"/>
      <c r="U66" s="4" t="s">
        <v>1094</v>
      </c>
      <c r="V66" s="5" t="s">
        <v>1095</v>
      </c>
      <c r="W66" s="5" t="s">
        <v>1096</v>
      </c>
      <c r="X66" s="5">
        <v>0</v>
      </c>
      <c r="Y66" s="5">
        <v>0</v>
      </c>
      <c r="Z66" s="5">
        <v>4</v>
      </c>
      <c r="AA66" s="5">
        <v>2</v>
      </c>
      <c r="AB66" s="5">
        <v>0</v>
      </c>
      <c r="AC66" s="5">
        <v>5</v>
      </c>
      <c r="AD66" s="5">
        <v>0</v>
      </c>
      <c r="AE66" s="5">
        <f t="shared" si="0"/>
        <v>11</v>
      </c>
      <c r="AF66" s="5" t="s">
        <v>53</v>
      </c>
    </row>
    <row r="67" spans="1:32" ht="15.75" customHeight="1" x14ac:dyDescent="0.2">
      <c r="A67" s="3" t="s">
        <v>1097</v>
      </c>
      <c r="B67" s="3" t="s">
        <v>55</v>
      </c>
      <c r="C67" s="3" t="s">
        <v>1098</v>
      </c>
      <c r="D67" s="3" t="s">
        <v>1099</v>
      </c>
      <c r="E67" s="3" t="s">
        <v>1100</v>
      </c>
      <c r="F67" s="3" t="s">
        <v>1101</v>
      </c>
      <c r="G67" s="3" t="s">
        <v>1102</v>
      </c>
      <c r="H67" s="3" t="s">
        <v>39</v>
      </c>
      <c r="I67" s="3" t="s">
        <v>1103</v>
      </c>
      <c r="J67" s="3" t="s">
        <v>1104</v>
      </c>
      <c r="K67" s="3" t="s">
        <v>1105</v>
      </c>
      <c r="L67" s="3" t="s">
        <v>1106</v>
      </c>
      <c r="M67" s="3" t="s">
        <v>1107</v>
      </c>
      <c r="N67" s="3" t="s">
        <v>1108</v>
      </c>
      <c r="O67" s="4" t="s">
        <v>1109</v>
      </c>
      <c r="P67" s="4" t="s">
        <v>1110</v>
      </c>
      <c r="Q67" s="3" t="s">
        <v>48</v>
      </c>
      <c r="R67" s="3"/>
      <c r="S67" s="3" t="s">
        <v>48</v>
      </c>
      <c r="T67" s="3"/>
      <c r="U67" s="4" t="s">
        <v>1111</v>
      </c>
      <c r="V67" s="5" t="s">
        <v>1112</v>
      </c>
      <c r="W67" s="5" t="s">
        <v>1112</v>
      </c>
      <c r="X67" s="5">
        <v>15</v>
      </c>
      <c r="Y67" s="5">
        <v>0</v>
      </c>
      <c r="Z67" s="5">
        <v>5</v>
      </c>
      <c r="AA67" s="5">
        <v>2</v>
      </c>
      <c r="AB67" s="5">
        <v>6</v>
      </c>
      <c r="AC67" s="5">
        <v>0</v>
      </c>
      <c r="AD67" s="5">
        <v>0</v>
      </c>
      <c r="AE67" s="5">
        <f t="shared" si="0"/>
        <v>28</v>
      </c>
      <c r="AF67" s="5" t="s">
        <v>1064</v>
      </c>
    </row>
    <row r="68" spans="1:32" ht="15.75" customHeight="1" x14ac:dyDescent="0.2">
      <c r="A68" s="3" t="s">
        <v>1113</v>
      </c>
      <c r="B68" s="3" t="s">
        <v>55</v>
      </c>
      <c r="C68" s="3" t="s">
        <v>1114</v>
      </c>
      <c r="D68" s="3" t="s">
        <v>1115</v>
      </c>
      <c r="E68" s="3" t="s">
        <v>1116</v>
      </c>
      <c r="F68" s="3" t="s">
        <v>1117</v>
      </c>
      <c r="G68" s="3" t="s">
        <v>1118</v>
      </c>
      <c r="H68" s="3" t="s">
        <v>39</v>
      </c>
      <c r="I68" s="3" t="s">
        <v>377</v>
      </c>
      <c r="J68" s="3" t="s">
        <v>1119</v>
      </c>
      <c r="K68" s="3" t="s">
        <v>1120</v>
      </c>
      <c r="L68" s="3" t="s">
        <v>1121</v>
      </c>
      <c r="M68" s="3" t="s">
        <v>1122</v>
      </c>
      <c r="N68" s="3" t="s">
        <v>1123</v>
      </c>
      <c r="O68" s="4" t="s">
        <v>1124</v>
      </c>
      <c r="P68" s="4" t="s">
        <v>1125</v>
      </c>
      <c r="Q68" s="3" t="s">
        <v>48</v>
      </c>
      <c r="R68" s="3"/>
      <c r="S68" s="3" t="s">
        <v>49</v>
      </c>
      <c r="T68" s="3"/>
      <c r="U68" s="4" t="s">
        <v>1126</v>
      </c>
      <c r="V68" s="5" t="s">
        <v>1127</v>
      </c>
      <c r="W68" s="5"/>
      <c r="X68" s="5"/>
      <c r="Y68" s="5"/>
      <c r="Z68" s="5"/>
      <c r="AA68" s="5"/>
      <c r="AB68" s="5"/>
      <c r="AC68" s="5"/>
      <c r="AD68" s="5"/>
      <c r="AE68" s="5">
        <f t="shared" si="0"/>
        <v>0</v>
      </c>
      <c r="AF68" s="5"/>
    </row>
    <row r="69" spans="1:32" ht="15.75" customHeight="1" x14ac:dyDescent="0.2">
      <c r="A69" s="3" t="s">
        <v>1128</v>
      </c>
      <c r="B69" s="3" t="s">
        <v>55</v>
      </c>
      <c r="C69" s="3" t="s">
        <v>1129</v>
      </c>
      <c r="D69" s="3" t="s">
        <v>1130</v>
      </c>
      <c r="E69" s="3" t="s">
        <v>1131</v>
      </c>
      <c r="F69" s="3" t="s">
        <v>1132</v>
      </c>
      <c r="G69" s="3" t="s">
        <v>1133</v>
      </c>
      <c r="H69" s="3" t="s">
        <v>94</v>
      </c>
      <c r="I69" s="3" t="s">
        <v>1134</v>
      </c>
      <c r="J69" s="3" t="s">
        <v>378</v>
      </c>
      <c r="K69" s="3" t="s">
        <v>1135</v>
      </c>
      <c r="L69" s="3" t="s">
        <v>1136</v>
      </c>
      <c r="M69" s="3" t="s">
        <v>1137</v>
      </c>
      <c r="N69" s="3" t="s">
        <v>1138</v>
      </c>
      <c r="O69" s="4" t="s">
        <v>1139</v>
      </c>
      <c r="P69" s="4" t="s">
        <v>1140</v>
      </c>
      <c r="Q69" s="3" t="s">
        <v>48</v>
      </c>
      <c r="R69" s="3" t="s">
        <v>48</v>
      </c>
      <c r="S69" s="3" t="s">
        <v>48</v>
      </c>
      <c r="T69" s="3" t="s">
        <v>48</v>
      </c>
      <c r="U69" s="4" t="s">
        <v>1141</v>
      </c>
      <c r="V69" s="5" t="s">
        <v>1142</v>
      </c>
      <c r="W69" s="5"/>
      <c r="X69" s="5"/>
      <c r="Y69" s="5"/>
      <c r="Z69" s="5"/>
      <c r="AA69" s="5"/>
      <c r="AB69" s="5"/>
      <c r="AC69" s="5"/>
      <c r="AD69" s="5"/>
      <c r="AE69" s="5">
        <f t="shared" si="0"/>
        <v>0</v>
      </c>
      <c r="AF69" s="5"/>
    </row>
    <row r="70" spans="1:32" ht="15.75" customHeight="1" x14ac:dyDescent="0.2">
      <c r="A70" s="3" t="s">
        <v>1143</v>
      </c>
      <c r="B70" s="3" t="s">
        <v>72</v>
      </c>
      <c r="C70" s="3" t="s">
        <v>1144</v>
      </c>
      <c r="D70" s="3" t="s">
        <v>1145</v>
      </c>
      <c r="E70" s="3" t="s">
        <v>1146</v>
      </c>
      <c r="F70" s="3" t="s">
        <v>1147</v>
      </c>
      <c r="G70" s="3" t="s">
        <v>1148</v>
      </c>
      <c r="H70" s="3" t="s">
        <v>94</v>
      </c>
      <c r="I70" s="3" t="s">
        <v>1149</v>
      </c>
      <c r="J70" s="3" t="s">
        <v>1150</v>
      </c>
      <c r="K70" s="3" t="s">
        <v>1151</v>
      </c>
      <c r="L70" s="3" t="s">
        <v>1152</v>
      </c>
      <c r="M70" s="3" t="s">
        <v>1153</v>
      </c>
      <c r="N70" s="3" t="s">
        <v>1154</v>
      </c>
      <c r="O70" s="4" t="s">
        <v>1155</v>
      </c>
      <c r="P70" s="4" t="s">
        <v>1156</v>
      </c>
      <c r="Q70" s="3" t="s">
        <v>49</v>
      </c>
      <c r="R70" s="3"/>
      <c r="S70" s="3" t="s">
        <v>49</v>
      </c>
      <c r="T70" s="3"/>
      <c r="U70" s="4" t="s">
        <v>1157</v>
      </c>
      <c r="V70" s="5" t="s">
        <v>1158</v>
      </c>
      <c r="W70" s="5"/>
      <c r="X70" s="5"/>
      <c r="Y70" s="5"/>
      <c r="Z70" s="5"/>
      <c r="AA70" s="5"/>
      <c r="AB70" s="5"/>
      <c r="AC70" s="5"/>
      <c r="AD70" s="5"/>
      <c r="AE70" s="5">
        <f t="shared" si="0"/>
        <v>0</v>
      </c>
      <c r="AF70" s="5"/>
    </row>
    <row r="71" spans="1:32" ht="15.75" customHeight="1" x14ac:dyDescent="0.2">
      <c r="A71" s="3" t="s">
        <v>1159</v>
      </c>
      <c r="B71" s="3" t="s">
        <v>72</v>
      </c>
      <c r="C71" s="3" t="s">
        <v>1160</v>
      </c>
      <c r="D71" s="3" t="s">
        <v>1161</v>
      </c>
      <c r="E71" s="3"/>
      <c r="F71" s="3" t="s">
        <v>1162</v>
      </c>
      <c r="G71" s="3" t="s">
        <v>1163</v>
      </c>
      <c r="H71" s="3" t="s">
        <v>39</v>
      </c>
      <c r="I71" s="3" t="s">
        <v>1164</v>
      </c>
      <c r="J71" s="3" t="s">
        <v>345</v>
      </c>
      <c r="K71" s="3" t="s">
        <v>1165</v>
      </c>
      <c r="L71" s="3" t="s">
        <v>1166</v>
      </c>
      <c r="M71" s="3" t="s">
        <v>1167</v>
      </c>
      <c r="N71" s="3" t="s">
        <v>1168</v>
      </c>
      <c r="O71" s="4" t="s">
        <v>1169</v>
      </c>
      <c r="P71" s="4" t="s">
        <v>1170</v>
      </c>
      <c r="Q71" s="3" t="s">
        <v>49</v>
      </c>
      <c r="R71" s="3"/>
      <c r="S71" s="3" t="s">
        <v>49</v>
      </c>
      <c r="T71" s="3"/>
      <c r="U71" s="4" t="s">
        <v>1171</v>
      </c>
      <c r="V71" s="5" t="s">
        <v>1172</v>
      </c>
      <c r="W71" s="5" t="s">
        <v>1173</v>
      </c>
      <c r="X71" s="5">
        <v>5</v>
      </c>
      <c r="Y71" s="5">
        <v>0</v>
      </c>
      <c r="Z71" s="5">
        <v>6</v>
      </c>
      <c r="AA71" s="5">
        <v>4</v>
      </c>
      <c r="AB71" s="5">
        <v>4</v>
      </c>
      <c r="AC71" s="5">
        <v>5</v>
      </c>
      <c r="AD71" s="5">
        <v>0</v>
      </c>
      <c r="AE71" s="5">
        <f t="shared" si="0"/>
        <v>24</v>
      </c>
      <c r="AF71" s="5" t="s">
        <v>53</v>
      </c>
    </row>
    <row r="72" spans="1:32" ht="15.75" customHeight="1" x14ac:dyDescent="0.2">
      <c r="A72" s="3" t="s">
        <v>1174</v>
      </c>
      <c r="B72" s="3" t="s">
        <v>72</v>
      </c>
      <c r="C72" s="3" t="s">
        <v>1175</v>
      </c>
      <c r="D72" s="3" t="s">
        <v>1176</v>
      </c>
      <c r="E72" s="3" t="s">
        <v>49</v>
      </c>
      <c r="F72" s="3" t="s">
        <v>1177</v>
      </c>
      <c r="G72" s="3" t="s">
        <v>1178</v>
      </c>
      <c r="H72" s="3" t="s">
        <v>39</v>
      </c>
      <c r="I72" s="3" t="s">
        <v>1179</v>
      </c>
      <c r="J72" s="3" t="s">
        <v>1180</v>
      </c>
      <c r="K72" s="3" t="s">
        <v>1181</v>
      </c>
      <c r="L72" s="3" t="s">
        <v>1182</v>
      </c>
      <c r="M72" s="3" t="s">
        <v>1183</v>
      </c>
      <c r="N72" s="3" t="s">
        <v>1184</v>
      </c>
      <c r="O72" s="4" t="s">
        <v>1185</v>
      </c>
      <c r="P72" s="4" t="s">
        <v>1186</v>
      </c>
      <c r="Q72" s="3" t="s">
        <v>48</v>
      </c>
      <c r="R72" s="3" t="s">
        <v>1187</v>
      </c>
      <c r="S72" s="3" t="s">
        <v>48</v>
      </c>
      <c r="T72" s="3" t="s">
        <v>1188</v>
      </c>
      <c r="U72" s="4" t="s">
        <v>1189</v>
      </c>
      <c r="V72" s="5" t="s">
        <v>1190</v>
      </c>
      <c r="W72" s="5" t="s">
        <v>859</v>
      </c>
      <c r="X72" s="5">
        <v>20</v>
      </c>
      <c r="Y72" s="5">
        <v>0</v>
      </c>
      <c r="Z72" s="5">
        <v>7</v>
      </c>
      <c r="AA72" s="5">
        <v>3</v>
      </c>
      <c r="AB72" s="5">
        <v>4</v>
      </c>
      <c r="AC72" s="5">
        <v>5</v>
      </c>
      <c r="AD72" s="5">
        <v>0</v>
      </c>
      <c r="AE72" s="5">
        <f t="shared" si="0"/>
        <v>39</v>
      </c>
      <c r="AF72" s="5" t="s">
        <v>535</v>
      </c>
    </row>
    <row r="73" spans="1:32" ht="15.75" customHeight="1" x14ac:dyDescent="0.2">
      <c r="A73" s="3" t="s">
        <v>1191</v>
      </c>
      <c r="B73" s="3" t="s">
        <v>55</v>
      </c>
      <c r="C73" s="3" t="s">
        <v>1192</v>
      </c>
      <c r="D73" s="3" t="s">
        <v>1192</v>
      </c>
      <c r="E73" s="3" t="s">
        <v>1193</v>
      </c>
      <c r="F73" s="3" t="s">
        <v>1194</v>
      </c>
      <c r="G73" s="3" t="s">
        <v>1195</v>
      </c>
      <c r="H73" s="3" t="s">
        <v>39</v>
      </c>
      <c r="I73" s="3" t="s">
        <v>1196</v>
      </c>
      <c r="J73" s="3" t="s">
        <v>1197</v>
      </c>
      <c r="K73" s="3" t="s">
        <v>1198</v>
      </c>
      <c r="L73" s="3" t="s">
        <v>1199</v>
      </c>
      <c r="M73" s="3" t="s">
        <v>1200</v>
      </c>
      <c r="N73" s="3" t="s">
        <v>1201</v>
      </c>
      <c r="O73" s="4" t="s">
        <v>1202</v>
      </c>
      <c r="P73" s="4" t="s">
        <v>1203</v>
      </c>
      <c r="Q73" s="3" t="s">
        <v>49</v>
      </c>
      <c r="R73" s="3"/>
      <c r="S73" s="3" t="s">
        <v>49</v>
      </c>
      <c r="T73" s="3"/>
      <c r="U73" s="4" t="s">
        <v>1204</v>
      </c>
      <c r="V73" s="5" t="s">
        <v>1205</v>
      </c>
      <c r="W73" s="5"/>
      <c r="X73" s="5"/>
      <c r="Y73" s="5"/>
      <c r="Z73" s="5"/>
      <c r="AA73" s="5"/>
      <c r="AB73" s="5"/>
      <c r="AC73" s="5"/>
      <c r="AD73" s="5"/>
      <c r="AE73" s="5">
        <f t="shared" si="0"/>
        <v>0</v>
      </c>
      <c r="AF73" s="5"/>
    </row>
    <row r="74" spans="1:32" ht="15.75" customHeight="1" x14ac:dyDescent="0.2">
      <c r="A74" s="3" t="s">
        <v>1206</v>
      </c>
      <c r="B74" s="3" t="s">
        <v>188</v>
      </c>
      <c r="C74" s="3" t="s">
        <v>1207</v>
      </c>
      <c r="D74" s="3" t="s">
        <v>1208</v>
      </c>
      <c r="E74" s="3" t="s">
        <v>1209</v>
      </c>
      <c r="F74" s="3" t="s">
        <v>1210</v>
      </c>
      <c r="G74" s="3" t="s">
        <v>1211</v>
      </c>
      <c r="H74" s="3" t="s">
        <v>39</v>
      </c>
      <c r="I74" s="3" t="s">
        <v>1212</v>
      </c>
      <c r="J74" s="3" t="s">
        <v>1213</v>
      </c>
      <c r="K74" s="3" t="s">
        <v>1214</v>
      </c>
      <c r="L74" s="3" t="s">
        <v>1215</v>
      </c>
      <c r="M74" s="3" t="s">
        <v>1216</v>
      </c>
      <c r="N74" s="3" t="s">
        <v>1217</v>
      </c>
      <c r="O74" s="4" t="s">
        <v>1218</v>
      </c>
      <c r="P74" s="4" t="s">
        <v>1219</v>
      </c>
      <c r="Q74" s="3" t="s">
        <v>48</v>
      </c>
      <c r="R74" s="3" t="s">
        <v>1220</v>
      </c>
      <c r="S74" s="3" t="s">
        <v>49</v>
      </c>
      <c r="T74" s="3" t="s">
        <v>1221</v>
      </c>
      <c r="U74" s="4" t="s">
        <v>1222</v>
      </c>
      <c r="V74" s="5" t="s">
        <v>1223</v>
      </c>
      <c r="W74" s="5" t="s">
        <v>1224</v>
      </c>
      <c r="X74" s="5">
        <v>25</v>
      </c>
      <c r="Y74" s="5">
        <v>2</v>
      </c>
      <c r="Z74" s="5">
        <v>7</v>
      </c>
      <c r="AA74" s="5">
        <v>3</v>
      </c>
      <c r="AB74" s="5">
        <v>4</v>
      </c>
      <c r="AC74" s="5">
        <v>5</v>
      </c>
      <c r="AD74" s="5">
        <v>0</v>
      </c>
      <c r="AE74" s="5">
        <f t="shared" si="0"/>
        <v>46</v>
      </c>
      <c r="AF74" s="5" t="s">
        <v>535</v>
      </c>
    </row>
    <row r="75" spans="1:32" ht="15.75" customHeight="1" x14ac:dyDescent="0.2">
      <c r="A75" s="3" t="s">
        <v>1225</v>
      </c>
      <c r="B75" s="3" t="s">
        <v>72</v>
      </c>
      <c r="C75" s="3" t="s">
        <v>1226</v>
      </c>
      <c r="D75" s="3" t="s">
        <v>1227</v>
      </c>
      <c r="E75" s="3" t="s">
        <v>1228</v>
      </c>
      <c r="F75" s="3" t="s">
        <v>1229</v>
      </c>
      <c r="G75" s="3" t="s">
        <v>1230</v>
      </c>
      <c r="H75" s="3" t="s">
        <v>94</v>
      </c>
      <c r="I75" s="3" t="s">
        <v>1231</v>
      </c>
      <c r="J75" s="3" t="s">
        <v>1232</v>
      </c>
      <c r="K75" s="3" t="s">
        <v>1233</v>
      </c>
      <c r="L75" s="3" t="s">
        <v>1234</v>
      </c>
      <c r="M75" s="3" t="s">
        <v>1235</v>
      </c>
      <c r="N75" s="3" t="s">
        <v>1236</v>
      </c>
      <c r="O75" s="4" t="s">
        <v>1237</v>
      </c>
      <c r="P75" s="4" t="s">
        <v>1238</v>
      </c>
      <c r="Q75" s="3" t="s">
        <v>48</v>
      </c>
      <c r="R75" s="3" t="s">
        <v>1239</v>
      </c>
      <c r="S75" s="3" t="s">
        <v>49</v>
      </c>
      <c r="T75" s="3"/>
      <c r="U75" s="4" t="s">
        <v>1240</v>
      </c>
      <c r="V75" s="5" t="s">
        <v>1241</v>
      </c>
      <c r="W75" s="5" t="s">
        <v>1242</v>
      </c>
      <c r="X75" s="5">
        <v>10</v>
      </c>
      <c r="Y75" s="5">
        <v>0</v>
      </c>
      <c r="Z75" s="5">
        <v>3</v>
      </c>
      <c r="AA75" s="5">
        <v>4</v>
      </c>
      <c r="AB75" s="5">
        <v>4</v>
      </c>
      <c r="AC75" s="5">
        <v>5</v>
      </c>
      <c r="AD75" s="5">
        <v>5</v>
      </c>
      <c r="AE75" s="5">
        <f t="shared" si="0"/>
        <v>31</v>
      </c>
      <c r="AF75" s="5" t="s">
        <v>53</v>
      </c>
    </row>
    <row r="76" spans="1:32" ht="15.75" customHeight="1" x14ac:dyDescent="0.2">
      <c r="A76" s="3" t="s">
        <v>1243</v>
      </c>
      <c r="B76" s="3" t="s">
        <v>239</v>
      </c>
      <c r="C76" s="3" t="s">
        <v>1244</v>
      </c>
      <c r="D76" s="3" t="s">
        <v>1245</v>
      </c>
      <c r="E76" s="3" t="s">
        <v>1246</v>
      </c>
      <c r="F76" s="3" t="s">
        <v>1247</v>
      </c>
      <c r="G76" s="3" t="s">
        <v>1248</v>
      </c>
      <c r="H76" s="3" t="s">
        <v>94</v>
      </c>
      <c r="I76" s="3" t="s">
        <v>1249</v>
      </c>
      <c r="J76" s="3" t="s">
        <v>1250</v>
      </c>
      <c r="K76" s="3" t="s">
        <v>1251</v>
      </c>
      <c r="L76" s="3" t="s">
        <v>1252</v>
      </c>
      <c r="M76" s="3" t="s">
        <v>1253</v>
      </c>
      <c r="N76" s="3" t="s">
        <v>1254</v>
      </c>
      <c r="O76" s="4" t="s">
        <v>1255</v>
      </c>
      <c r="P76" s="4" t="s">
        <v>1256</v>
      </c>
      <c r="Q76" s="3" t="s">
        <v>48</v>
      </c>
      <c r="R76" s="3"/>
      <c r="S76" s="3" t="s">
        <v>49</v>
      </c>
      <c r="T76" s="3"/>
      <c r="U76" s="4" t="s">
        <v>1257</v>
      </c>
      <c r="V76" s="5" t="s">
        <v>1258</v>
      </c>
      <c r="W76" s="5"/>
      <c r="X76" s="5"/>
      <c r="Y76" s="5"/>
      <c r="Z76" s="5"/>
      <c r="AA76" s="5"/>
      <c r="AB76" s="5"/>
      <c r="AC76" s="5"/>
      <c r="AD76" s="5"/>
      <c r="AE76" s="5">
        <f t="shared" si="0"/>
        <v>0</v>
      </c>
      <c r="AF76" s="5"/>
    </row>
    <row r="77" spans="1:32" ht="15.75" customHeight="1" x14ac:dyDescent="0.2">
      <c r="A77" s="3" t="s">
        <v>1259</v>
      </c>
      <c r="B77" s="3" t="s">
        <v>106</v>
      </c>
      <c r="C77" s="3" t="s">
        <v>1260</v>
      </c>
      <c r="D77" s="3" t="s">
        <v>1261</v>
      </c>
      <c r="E77" s="3" t="s">
        <v>1262</v>
      </c>
      <c r="F77" s="3" t="s">
        <v>1263</v>
      </c>
      <c r="G77" s="3" t="s">
        <v>1264</v>
      </c>
      <c r="H77" s="3" t="s">
        <v>39</v>
      </c>
      <c r="I77" s="3" t="s">
        <v>1265</v>
      </c>
      <c r="J77" s="3" t="s">
        <v>1266</v>
      </c>
      <c r="K77" s="3" t="s">
        <v>1267</v>
      </c>
      <c r="L77" s="3" t="s">
        <v>1268</v>
      </c>
      <c r="M77" s="3" t="s">
        <v>1269</v>
      </c>
      <c r="N77" s="3" t="s">
        <v>1270</v>
      </c>
      <c r="O77" s="4" t="s">
        <v>1271</v>
      </c>
      <c r="P77" s="4" t="s">
        <v>1272</v>
      </c>
      <c r="Q77" s="3" t="s">
        <v>48</v>
      </c>
      <c r="R77" s="3"/>
      <c r="S77" s="3" t="s">
        <v>48</v>
      </c>
      <c r="T77" s="3"/>
      <c r="U77" s="4" t="s">
        <v>1273</v>
      </c>
      <c r="V77" s="5" t="s">
        <v>1274</v>
      </c>
      <c r="W77" s="5"/>
      <c r="X77" s="5">
        <v>0</v>
      </c>
      <c r="Y77" s="5">
        <v>1</v>
      </c>
      <c r="Z77" s="5">
        <v>6</v>
      </c>
      <c r="AA77" s="5">
        <v>3</v>
      </c>
      <c r="AB77" s="5">
        <v>0</v>
      </c>
      <c r="AC77" s="5">
        <v>5</v>
      </c>
      <c r="AD77" s="5">
        <v>0</v>
      </c>
      <c r="AE77" s="5">
        <f t="shared" si="0"/>
        <v>15</v>
      </c>
      <c r="AF77" s="5" t="s">
        <v>53</v>
      </c>
    </row>
    <row r="78" spans="1:32" ht="15.75" customHeight="1" x14ac:dyDescent="0.2">
      <c r="A78" s="3" t="s">
        <v>1275</v>
      </c>
      <c r="B78" s="3" t="s">
        <v>72</v>
      </c>
      <c r="C78" s="3" t="s">
        <v>1276</v>
      </c>
      <c r="D78" s="3" t="s">
        <v>556</v>
      </c>
      <c r="E78" s="3" t="s">
        <v>1277</v>
      </c>
      <c r="F78" s="3" t="s">
        <v>1278</v>
      </c>
      <c r="G78" s="3" t="s">
        <v>1279</v>
      </c>
      <c r="H78" s="3" t="s">
        <v>39</v>
      </c>
      <c r="I78" s="3" t="s">
        <v>1280</v>
      </c>
      <c r="J78" s="3" t="s">
        <v>1281</v>
      </c>
      <c r="K78" s="3" t="s">
        <v>1282</v>
      </c>
      <c r="L78" s="3" t="s">
        <v>1283</v>
      </c>
      <c r="M78" s="3" t="s">
        <v>1284</v>
      </c>
      <c r="N78" s="3" t="s">
        <v>1285</v>
      </c>
      <c r="O78" s="4" t="s">
        <v>1286</v>
      </c>
      <c r="P78" s="4" t="s">
        <v>1287</v>
      </c>
      <c r="Q78" s="3" t="s">
        <v>48</v>
      </c>
      <c r="R78" s="3"/>
      <c r="S78" s="3" t="s">
        <v>48</v>
      </c>
      <c r="T78" s="3"/>
      <c r="U78" s="4" t="s">
        <v>1288</v>
      </c>
      <c r="V78" s="5" t="s">
        <v>570</v>
      </c>
      <c r="W78" s="5" t="s">
        <v>570</v>
      </c>
      <c r="X78" s="5">
        <v>15</v>
      </c>
      <c r="Y78" s="5">
        <v>1</v>
      </c>
      <c r="Z78" s="5">
        <v>8</v>
      </c>
      <c r="AA78" s="5">
        <v>5</v>
      </c>
      <c r="AB78" s="5">
        <v>4</v>
      </c>
      <c r="AC78" s="5">
        <v>5</v>
      </c>
      <c r="AD78" s="5">
        <v>0</v>
      </c>
      <c r="AE78" s="5">
        <f t="shared" si="0"/>
        <v>38</v>
      </c>
      <c r="AF78" s="5" t="s">
        <v>355</v>
      </c>
    </row>
    <row r="79" spans="1:32" ht="15.75" customHeight="1" x14ac:dyDescent="0.2">
      <c r="A79" s="3" t="s">
        <v>1289</v>
      </c>
      <c r="B79" s="3" t="s">
        <v>72</v>
      </c>
      <c r="C79" s="3" t="s">
        <v>1290</v>
      </c>
      <c r="D79" s="3" t="s">
        <v>1291</v>
      </c>
      <c r="E79" s="3" t="s">
        <v>1292</v>
      </c>
      <c r="F79" s="3" t="s">
        <v>1293</v>
      </c>
      <c r="G79" s="3" t="s">
        <v>1294</v>
      </c>
      <c r="H79" s="3" t="s">
        <v>94</v>
      </c>
      <c r="I79" s="3" t="s">
        <v>1295</v>
      </c>
      <c r="J79" s="3" t="s">
        <v>1296</v>
      </c>
      <c r="K79" s="3" t="s">
        <v>1297</v>
      </c>
      <c r="L79" s="3" t="s">
        <v>1298</v>
      </c>
      <c r="M79" s="3" t="s">
        <v>1299</v>
      </c>
      <c r="N79" s="3" t="s">
        <v>1300</v>
      </c>
      <c r="O79" s="4" t="s">
        <v>1301</v>
      </c>
      <c r="P79" s="4" t="s">
        <v>1302</v>
      </c>
      <c r="Q79" s="3" t="s">
        <v>48</v>
      </c>
      <c r="R79" s="3"/>
      <c r="S79" s="3" t="s">
        <v>49</v>
      </c>
      <c r="T79" s="3"/>
      <c r="U79" s="4" t="s">
        <v>1303</v>
      </c>
      <c r="V79" s="5" t="s">
        <v>1304</v>
      </c>
      <c r="W79" s="5"/>
      <c r="X79" s="5">
        <v>0</v>
      </c>
      <c r="Y79" s="5">
        <v>0</v>
      </c>
      <c r="Z79" s="5">
        <v>5</v>
      </c>
      <c r="AA79" s="5">
        <v>4</v>
      </c>
      <c r="AB79" s="5">
        <v>0</v>
      </c>
      <c r="AC79" s="5">
        <v>5</v>
      </c>
      <c r="AD79" s="5">
        <v>5</v>
      </c>
      <c r="AE79" s="5">
        <f t="shared" si="0"/>
        <v>19</v>
      </c>
      <c r="AF79" s="5" t="s">
        <v>53</v>
      </c>
    </row>
    <row r="80" spans="1:32" ht="15.75" customHeight="1" x14ac:dyDescent="0.2">
      <c r="A80" s="3" t="s">
        <v>1305</v>
      </c>
      <c r="B80" s="3" t="s">
        <v>239</v>
      </c>
      <c r="C80" s="3" t="s">
        <v>1306</v>
      </c>
      <c r="D80" s="3" t="s">
        <v>1307</v>
      </c>
      <c r="E80" s="3" t="s">
        <v>1308</v>
      </c>
      <c r="F80" s="3" t="s">
        <v>1309</v>
      </c>
      <c r="G80" s="3" t="s">
        <v>1310</v>
      </c>
      <c r="H80" s="3" t="s">
        <v>39</v>
      </c>
      <c r="I80" s="3" t="s">
        <v>1311</v>
      </c>
      <c r="J80" s="3" t="s">
        <v>1312</v>
      </c>
      <c r="K80" s="3" t="s">
        <v>1313</v>
      </c>
      <c r="L80" s="3" t="s">
        <v>1314</v>
      </c>
      <c r="M80" s="3" t="s">
        <v>1315</v>
      </c>
      <c r="N80" s="3" t="s">
        <v>1316</v>
      </c>
      <c r="O80" s="4" t="s">
        <v>1317</v>
      </c>
      <c r="P80" s="4" t="s">
        <v>1318</v>
      </c>
      <c r="Q80" s="3" t="s">
        <v>49</v>
      </c>
      <c r="R80" s="3"/>
      <c r="S80" s="3" t="s">
        <v>49</v>
      </c>
      <c r="T80" s="3"/>
      <c r="U80" s="4" t="s">
        <v>1319</v>
      </c>
      <c r="V80" s="5" t="s">
        <v>1320</v>
      </c>
      <c r="W80" s="5"/>
      <c r="X80" s="5">
        <v>0</v>
      </c>
      <c r="Y80" s="5">
        <v>1</v>
      </c>
      <c r="Z80" s="5">
        <v>5</v>
      </c>
      <c r="AA80" s="5">
        <v>3</v>
      </c>
      <c r="AB80" s="5">
        <v>0</v>
      </c>
      <c r="AC80" s="5">
        <v>5</v>
      </c>
      <c r="AD80" s="5">
        <v>0</v>
      </c>
      <c r="AE80" s="5">
        <f t="shared" si="0"/>
        <v>14</v>
      </c>
      <c r="AF80" s="5" t="s">
        <v>53</v>
      </c>
    </row>
    <row r="81" spans="1:32" ht="15.75" customHeight="1" x14ac:dyDescent="0.2">
      <c r="A81" s="3" t="s">
        <v>1321</v>
      </c>
      <c r="B81" s="3" t="s">
        <v>239</v>
      </c>
      <c r="C81" s="3" t="s">
        <v>1322</v>
      </c>
      <c r="D81" s="3" t="s">
        <v>1323</v>
      </c>
      <c r="E81" s="3" t="s">
        <v>1324</v>
      </c>
      <c r="F81" s="3" t="s">
        <v>1325</v>
      </c>
      <c r="G81" s="3" t="s">
        <v>1326</v>
      </c>
      <c r="H81" s="3" t="s">
        <v>39</v>
      </c>
      <c r="I81" s="3" t="s">
        <v>1327</v>
      </c>
      <c r="J81" s="3" t="s">
        <v>1328</v>
      </c>
      <c r="K81" s="3" t="s">
        <v>1329</v>
      </c>
      <c r="L81" s="3" t="s">
        <v>1330</v>
      </c>
      <c r="M81" s="3" t="s">
        <v>1331</v>
      </c>
      <c r="N81" s="3" t="s">
        <v>1332</v>
      </c>
      <c r="O81" s="4" t="s">
        <v>1333</v>
      </c>
      <c r="P81" s="4" t="s">
        <v>1334</v>
      </c>
      <c r="Q81" s="3" t="s">
        <v>48</v>
      </c>
      <c r="R81" s="3"/>
      <c r="S81" s="3" t="s">
        <v>48</v>
      </c>
      <c r="T81" s="3"/>
      <c r="U81" s="4" t="s">
        <v>1335</v>
      </c>
      <c r="V81" s="5" t="s">
        <v>1336</v>
      </c>
      <c r="W81" s="5"/>
      <c r="X81" s="5">
        <v>0</v>
      </c>
      <c r="Y81" s="5">
        <v>1</v>
      </c>
      <c r="Z81" s="5">
        <v>6</v>
      </c>
      <c r="AA81" s="5">
        <v>3</v>
      </c>
      <c r="AB81" s="5">
        <v>0</v>
      </c>
      <c r="AC81" s="5">
        <v>5</v>
      </c>
      <c r="AD81" s="5">
        <v>0</v>
      </c>
      <c r="AE81" s="5">
        <f t="shared" si="0"/>
        <v>15</v>
      </c>
      <c r="AF81" s="5" t="s">
        <v>53</v>
      </c>
    </row>
    <row r="82" spans="1:32" ht="15.75" customHeight="1" x14ac:dyDescent="0.2">
      <c r="A82" s="3" t="s">
        <v>1337</v>
      </c>
      <c r="B82" s="3" t="s">
        <v>106</v>
      </c>
      <c r="C82" s="3" t="s">
        <v>1338</v>
      </c>
      <c r="D82" s="3" t="s">
        <v>1339</v>
      </c>
      <c r="E82" s="3" t="s">
        <v>1340</v>
      </c>
      <c r="F82" s="3" t="s">
        <v>1341</v>
      </c>
      <c r="G82" s="3" t="s">
        <v>1342</v>
      </c>
      <c r="H82" s="3" t="s">
        <v>39</v>
      </c>
      <c r="I82" s="3" t="s">
        <v>1343</v>
      </c>
      <c r="J82" s="3" t="s">
        <v>1344</v>
      </c>
      <c r="K82" s="3" t="s">
        <v>1345</v>
      </c>
      <c r="L82" s="3" t="s">
        <v>1346</v>
      </c>
      <c r="M82" s="3" t="s">
        <v>1347</v>
      </c>
      <c r="N82" s="3" t="s">
        <v>1348</v>
      </c>
      <c r="O82" s="4" t="s">
        <v>1349</v>
      </c>
      <c r="P82" s="4" t="s">
        <v>1350</v>
      </c>
      <c r="Q82" s="3" t="s">
        <v>48</v>
      </c>
      <c r="R82" s="3" t="s">
        <v>1351</v>
      </c>
      <c r="S82" s="3" t="s">
        <v>48</v>
      </c>
      <c r="T82" s="3" t="s">
        <v>1352</v>
      </c>
      <c r="U82" s="4" t="s">
        <v>1353</v>
      </c>
      <c r="V82" s="5" t="s">
        <v>1354</v>
      </c>
      <c r="W82" s="5"/>
      <c r="X82" s="5">
        <v>0</v>
      </c>
      <c r="Y82" s="5">
        <v>0</v>
      </c>
      <c r="Z82" s="5">
        <v>8</v>
      </c>
      <c r="AA82" s="5">
        <v>4</v>
      </c>
      <c r="AB82" s="5">
        <v>0</v>
      </c>
      <c r="AC82" s="5">
        <v>5</v>
      </c>
      <c r="AD82" s="5">
        <v>0</v>
      </c>
      <c r="AE82" s="5">
        <f t="shared" si="0"/>
        <v>17</v>
      </c>
      <c r="AF82" s="5" t="s">
        <v>53</v>
      </c>
    </row>
    <row r="83" spans="1:32" ht="15.75" customHeight="1" x14ac:dyDescent="0.2">
      <c r="A83" s="3" t="s">
        <v>1355</v>
      </c>
      <c r="B83" s="3" t="s">
        <v>72</v>
      </c>
      <c r="C83" s="3" t="s">
        <v>1356</v>
      </c>
      <c r="D83" s="3" t="s">
        <v>1357</v>
      </c>
      <c r="E83" s="3" t="s">
        <v>1358</v>
      </c>
      <c r="F83" s="3" t="s">
        <v>1359</v>
      </c>
      <c r="G83" s="3" t="s">
        <v>1360</v>
      </c>
      <c r="H83" s="3" t="s">
        <v>94</v>
      </c>
      <c r="I83" s="3" t="s">
        <v>1361</v>
      </c>
      <c r="J83" s="3" t="s">
        <v>1362</v>
      </c>
      <c r="K83" s="3" t="s">
        <v>1363</v>
      </c>
      <c r="L83" s="3" t="s">
        <v>1364</v>
      </c>
      <c r="M83" s="3" t="s">
        <v>1365</v>
      </c>
      <c r="N83" s="3" t="s">
        <v>1366</v>
      </c>
      <c r="O83" s="4" t="s">
        <v>1367</v>
      </c>
      <c r="P83" s="4" t="s">
        <v>1368</v>
      </c>
      <c r="Q83" s="3" t="s">
        <v>48</v>
      </c>
      <c r="R83" s="3"/>
      <c r="S83" s="3" t="s">
        <v>49</v>
      </c>
      <c r="T83" s="3"/>
      <c r="U83" s="4" t="s">
        <v>1369</v>
      </c>
      <c r="V83" s="5" t="s">
        <v>1370</v>
      </c>
      <c r="W83" s="5" t="s">
        <v>1370</v>
      </c>
      <c r="X83" s="5">
        <v>20</v>
      </c>
      <c r="Y83" s="5">
        <v>1</v>
      </c>
      <c r="Z83" s="5">
        <v>5</v>
      </c>
      <c r="AA83" s="5">
        <v>3</v>
      </c>
      <c r="AB83" s="5">
        <v>4</v>
      </c>
      <c r="AC83" s="5">
        <v>5</v>
      </c>
      <c r="AD83" s="5">
        <v>5</v>
      </c>
      <c r="AE83" s="5">
        <f t="shared" si="0"/>
        <v>43</v>
      </c>
      <c r="AF83" s="5" t="s">
        <v>535</v>
      </c>
    </row>
    <row r="84" spans="1:32" ht="15.75" customHeight="1" x14ac:dyDescent="0.2">
      <c r="A84" s="3" t="s">
        <v>1371</v>
      </c>
      <c r="B84" s="3" t="s">
        <v>55</v>
      </c>
      <c r="C84" s="3" t="s">
        <v>1372</v>
      </c>
      <c r="D84" s="3" t="s">
        <v>1373</v>
      </c>
      <c r="E84" s="3"/>
      <c r="F84" s="3" t="s">
        <v>1374</v>
      </c>
      <c r="G84" s="3" t="s">
        <v>1375</v>
      </c>
      <c r="H84" s="3" t="s">
        <v>94</v>
      </c>
      <c r="I84" s="3" t="s">
        <v>1376</v>
      </c>
      <c r="J84" s="3" t="s">
        <v>1377</v>
      </c>
      <c r="K84" s="3" t="s">
        <v>1378</v>
      </c>
      <c r="L84" s="3" t="s">
        <v>1379</v>
      </c>
      <c r="M84" s="3" t="s">
        <v>1380</v>
      </c>
      <c r="N84" s="3" t="s">
        <v>1381</v>
      </c>
      <c r="O84" s="4" t="s">
        <v>1382</v>
      </c>
      <c r="P84" s="4" t="s">
        <v>1383</v>
      </c>
      <c r="Q84" s="3" t="s">
        <v>49</v>
      </c>
      <c r="R84" s="3"/>
      <c r="S84" s="3" t="s">
        <v>49</v>
      </c>
      <c r="T84" s="3"/>
      <c r="U84" s="4" t="s">
        <v>1384</v>
      </c>
      <c r="V84" s="5" t="s">
        <v>1385</v>
      </c>
      <c r="W84" s="5" t="s">
        <v>1385</v>
      </c>
      <c r="X84" s="5">
        <v>10</v>
      </c>
      <c r="Y84" s="5">
        <v>1</v>
      </c>
      <c r="Z84" s="5">
        <v>8</v>
      </c>
      <c r="AA84" s="5">
        <v>5</v>
      </c>
      <c r="AB84" s="5">
        <v>0</v>
      </c>
      <c r="AC84" s="5">
        <v>0</v>
      </c>
      <c r="AD84" s="5">
        <v>5</v>
      </c>
      <c r="AE84" s="5">
        <f t="shared" si="0"/>
        <v>29</v>
      </c>
      <c r="AF84" s="5" t="s">
        <v>53</v>
      </c>
    </row>
    <row r="85" spans="1:32" ht="15.75" customHeight="1" x14ac:dyDescent="0.2">
      <c r="A85" s="3" t="s">
        <v>1386</v>
      </c>
      <c r="B85" s="3" t="s">
        <v>239</v>
      </c>
      <c r="C85" s="3" t="s">
        <v>1387</v>
      </c>
      <c r="D85" s="3" t="s">
        <v>1388</v>
      </c>
      <c r="E85" s="3" t="s">
        <v>1389</v>
      </c>
      <c r="F85" s="3" t="s">
        <v>1390</v>
      </c>
      <c r="G85" s="3" t="s">
        <v>1391</v>
      </c>
      <c r="H85" s="3" t="s">
        <v>39</v>
      </c>
      <c r="I85" s="3" t="s">
        <v>1392</v>
      </c>
      <c r="J85" s="3" t="s">
        <v>658</v>
      </c>
      <c r="K85" s="3" t="s">
        <v>1393</v>
      </c>
      <c r="L85" s="3" t="s">
        <v>1394</v>
      </c>
      <c r="M85" s="3" t="s">
        <v>1395</v>
      </c>
      <c r="N85" s="3" t="s">
        <v>1396</v>
      </c>
      <c r="O85" s="4" t="s">
        <v>1397</v>
      </c>
      <c r="P85" s="4" t="s">
        <v>1398</v>
      </c>
      <c r="Q85" s="3" t="s">
        <v>48</v>
      </c>
      <c r="R85" s="3"/>
      <c r="S85" s="3" t="s">
        <v>49</v>
      </c>
      <c r="T85" s="3"/>
      <c r="U85" s="4" t="s">
        <v>1399</v>
      </c>
      <c r="V85" s="5" t="s">
        <v>1400</v>
      </c>
      <c r="W85" s="5"/>
      <c r="X85" s="5">
        <v>0</v>
      </c>
      <c r="Y85" s="5">
        <v>1</v>
      </c>
      <c r="Z85" s="5">
        <v>7</v>
      </c>
      <c r="AA85" s="5">
        <v>4</v>
      </c>
      <c r="AB85" s="5">
        <v>0</v>
      </c>
      <c r="AC85" s="5">
        <v>5</v>
      </c>
      <c r="AD85" s="5">
        <v>0</v>
      </c>
      <c r="AE85" s="5">
        <f t="shared" si="0"/>
        <v>17</v>
      </c>
      <c r="AF85" s="5" t="s">
        <v>53</v>
      </c>
    </row>
    <row r="86" spans="1:32" ht="15.75" customHeight="1" x14ac:dyDescent="0.2">
      <c r="A86" s="3" t="s">
        <v>1401</v>
      </c>
      <c r="B86" s="3" t="s">
        <v>106</v>
      </c>
      <c r="C86" s="3" t="s">
        <v>1402</v>
      </c>
      <c r="D86" s="3" t="s">
        <v>1403</v>
      </c>
      <c r="E86" s="3" t="s">
        <v>1404</v>
      </c>
      <c r="F86" s="3" t="s">
        <v>1405</v>
      </c>
      <c r="G86" s="3" t="s">
        <v>1406</v>
      </c>
      <c r="H86" s="3" t="s">
        <v>39</v>
      </c>
      <c r="I86" s="3" t="s">
        <v>1407</v>
      </c>
      <c r="J86" s="3" t="s">
        <v>1408</v>
      </c>
      <c r="K86" s="3" t="s">
        <v>1409</v>
      </c>
      <c r="L86" s="3" t="s">
        <v>1410</v>
      </c>
      <c r="M86" s="3" t="s">
        <v>1411</v>
      </c>
      <c r="N86" s="3" t="s">
        <v>1412</v>
      </c>
      <c r="O86" s="4" t="s">
        <v>1413</v>
      </c>
      <c r="P86" s="4" t="s">
        <v>1414</v>
      </c>
      <c r="Q86" s="3" t="s">
        <v>48</v>
      </c>
      <c r="R86" s="3" t="s">
        <v>1415</v>
      </c>
      <c r="S86" s="3" t="s">
        <v>49</v>
      </c>
      <c r="T86" s="3" t="s">
        <v>1416</v>
      </c>
      <c r="U86" s="4" t="s">
        <v>1417</v>
      </c>
      <c r="V86" s="5" t="s">
        <v>1418</v>
      </c>
      <c r="W86" s="5" t="s">
        <v>1418</v>
      </c>
      <c r="X86" s="5">
        <v>15</v>
      </c>
      <c r="Y86" s="5">
        <v>0</v>
      </c>
      <c r="Z86" s="5">
        <v>5</v>
      </c>
      <c r="AA86" s="5">
        <v>3</v>
      </c>
      <c r="AB86" s="5">
        <v>6</v>
      </c>
      <c r="AC86" s="5">
        <v>5</v>
      </c>
      <c r="AD86" s="5">
        <v>0</v>
      </c>
      <c r="AE86" s="5">
        <f t="shared" si="0"/>
        <v>34</v>
      </c>
      <c r="AF86" s="5" t="s">
        <v>1064</v>
      </c>
    </row>
    <row r="87" spans="1:32" ht="15.75" customHeight="1" x14ac:dyDescent="0.2">
      <c r="A87" s="3" t="s">
        <v>1419</v>
      </c>
      <c r="B87" s="3" t="s">
        <v>72</v>
      </c>
      <c r="C87" s="3" t="s">
        <v>1420</v>
      </c>
      <c r="D87" s="3" t="s">
        <v>1421</v>
      </c>
      <c r="E87" s="3" t="s">
        <v>1422</v>
      </c>
      <c r="F87" s="3" t="s">
        <v>1423</v>
      </c>
      <c r="G87" s="3" t="s">
        <v>1424</v>
      </c>
      <c r="H87" s="3" t="s">
        <v>39</v>
      </c>
      <c r="I87" s="3" t="s">
        <v>1425</v>
      </c>
      <c r="J87" s="3" t="s">
        <v>1426</v>
      </c>
      <c r="K87" s="3" t="s">
        <v>1427</v>
      </c>
      <c r="L87" s="3" t="s">
        <v>1428</v>
      </c>
      <c r="M87" s="3" t="s">
        <v>1429</v>
      </c>
      <c r="N87" s="3" t="s">
        <v>1430</v>
      </c>
      <c r="O87" s="4" t="s">
        <v>1431</v>
      </c>
      <c r="P87" s="4" t="s">
        <v>1432</v>
      </c>
      <c r="Q87" s="3" t="s">
        <v>48</v>
      </c>
      <c r="R87" s="3" t="s">
        <v>1433</v>
      </c>
      <c r="S87" s="3" t="s">
        <v>48</v>
      </c>
      <c r="T87" s="3" t="s">
        <v>1433</v>
      </c>
      <c r="U87" s="4" t="s">
        <v>1434</v>
      </c>
      <c r="V87" s="5" t="s">
        <v>1435</v>
      </c>
      <c r="W87" s="5"/>
      <c r="X87" s="5"/>
      <c r="Y87" s="5"/>
      <c r="Z87" s="5"/>
      <c r="AA87" s="5"/>
      <c r="AB87" s="5"/>
      <c r="AC87" s="5"/>
      <c r="AD87" s="5"/>
      <c r="AE87" s="5">
        <f t="shared" si="0"/>
        <v>0</v>
      </c>
      <c r="AF87" s="5"/>
    </row>
    <row r="88" spans="1:32" ht="15.75" customHeight="1" x14ac:dyDescent="0.2">
      <c r="A88" s="3" t="s">
        <v>1436</v>
      </c>
      <c r="B88" s="3" t="s">
        <v>106</v>
      </c>
      <c r="C88" s="3" t="s">
        <v>1437</v>
      </c>
      <c r="D88" s="3" t="s">
        <v>1438</v>
      </c>
      <c r="E88" s="3" t="s">
        <v>1439</v>
      </c>
      <c r="F88" s="3" t="s">
        <v>1440</v>
      </c>
      <c r="G88" s="3" t="s">
        <v>1441</v>
      </c>
      <c r="H88" s="3" t="s">
        <v>94</v>
      </c>
      <c r="I88" s="3" t="s">
        <v>1442</v>
      </c>
      <c r="J88" s="3" t="s">
        <v>1443</v>
      </c>
      <c r="K88" s="3" t="s">
        <v>1444</v>
      </c>
      <c r="L88" s="3" t="s">
        <v>1445</v>
      </c>
      <c r="M88" s="3" t="s">
        <v>1446</v>
      </c>
      <c r="N88" s="3" t="s">
        <v>1447</v>
      </c>
      <c r="O88" s="4" t="s">
        <v>1448</v>
      </c>
      <c r="P88" s="4" t="s">
        <v>1449</v>
      </c>
      <c r="Q88" s="3" t="s">
        <v>48</v>
      </c>
      <c r="R88" s="3" t="s">
        <v>550</v>
      </c>
      <c r="S88" s="3" t="s">
        <v>49</v>
      </c>
      <c r="T88" s="3"/>
      <c r="U88" s="4" t="s">
        <v>1450</v>
      </c>
      <c r="V88" s="5" t="s">
        <v>1451</v>
      </c>
      <c r="W88" s="5"/>
      <c r="X88" s="5"/>
      <c r="Y88" s="5"/>
      <c r="Z88" s="5"/>
      <c r="AA88" s="5"/>
      <c r="AB88" s="5"/>
      <c r="AC88" s="5"/>
      <c r="AD88" s="5"/>
      <c r="AE88" s="5">
        <f t="shared" si="0"/>
        <v>0</v>
      </c>
      <c r="AF88" s="5"/>
    </row>
    <row r="89" spans="1:32" ht="15.75" customHeight="1" x14ac:dyDescent="0.2">
      <c r="A89" s="3" t="s">
        <v>1452</v>
      </c>
      <c r="B89" s="3" t="s">
        <v>106</v>
      </c>
      <c r="C89" s="3" t="s">
        <v>1453</v>
      </c>
      <c r="D89" s="3" t="s">
        <v>1454</v>
      </c>
      <c r="E89" s="3" t="s">
        <v>1455</v>
      </c>
      <c r="F89" s="3" t="s">
        <v>1456</v>
      </c>
      <c r="G89" s="3" t="s">
        <v>1457</v>
      </c>
      <c r="H89" s="3" t="s">
        <v>94</v>
      </c>
      <c r="I89" s="3" t="s">
        <v>1458</v>
      </c>
      <c r="J89" s="3" t="s">
        <v>443</v>
      </c>
      <c r="K89" s="3" t="s">
        <v>1459</v>
      </c>
      <c r="L89" s="3" t="s">
        <v>1460</v>
      </c>
      <c r="M89" s="3" t="s">
        <v>1461</v>
      </c>
      <c r="N89" s="3" t="s">
        <v>1462</v>
      </c>
      <c r="O89" s="4" t="s">
        <v>1463</v>
      </c>
      <c r="P89" s="4" t="s">
        <v>1464</v>
      </c>
      <c r="Q89" s="3" t="s">
        <v>48</v>
      </c>
      <c r="R89" s="3" t="s">
        <v>1465</v>
      </c>
      <c r="S89" s="3" t="s">
        <v>48</v>
      </c>
      <c r="T89" s="3"/>
      <c r="U89" s="4" t="s">
        <v>1466</v>
      </c>
      <c r="V89" s="5" t="s">
        <v>1467</v>
      </c>
      <c r="W89" s="5" t="s">
        <v>1468</v>
      </c>
      <c r="X89" s="5">
        <v>15</v>
      </c>
      <c r="Y89" s="5">
        <v>1</v>
      </c>
      <c r="Z89" s="5">
        <v>5</v>
      </c>
      <c r="AA89" s="5">
        <v>3</v>
      </c>
      <c r="AB89" s="5">
        <v>2</v>
      </c>
      <c r="AC89" s="5">
        <v>5</v>
      </c>
      <c r="AD89" s="5">
        <v>5</v>
      </c>
      <c r="AE89" s="5">
        <f t="shared" si="0"/>
        <v>36</v>
      </c>
      <c r="AF89" s="5" t="s">
        <v>355</v>
      </c>
    </row>
    <row r="90" spans="1:32" ht="15.75" customHeight="1" x14ac:dyDescent="0.2">
      <c r="A90" s="3" t="s">
        <v>1469</v>
      </c>
      <c r="B90" s="3" t="s">
        <v>72</v>
      </c>
      <c r="C90" s="3" t="s">
        <v>1470</v>
      </c>
      <c r="D90" s="3" t="s">
        <v>1471</v>
      </c>
      <c r="E90" s="3"/>
      <c r="F90" s="3" t="s">
        <v>1472</v>
      </c>
      <c r="G90" s="3" t="s">
        <v>1473</v>
      </c>
      <c r="H90" s="3" t="s">
        <v>39</v>
      </c>
      <c r="I90" s="3" t="s">
        <v>1474</v>
      </c>
      <c r="J90" s="3" t="s">
        <v>1475</v>
      </c>
      <c r="K90" s="3" t="s">
        <v>1476</v>
      </c>
      <c r="L90" s="3" t="s">
        <v>1477</v>
      </c>
      <c r="M90" s="3" t="s">
        <v>1478</v>
      </c>
      <c r="N90" s="3" t="s">
        <v>1479</v>
      </c>
      <c r="O90" s="4" t="s">
        <v>1480</v>
      </c>
      <c r="P90" s="4" t="s">
        <v>1481</v>
      </c>
      <c r="Q90" s="3" t="s">
        <v>48</v>
      </c>
      <c r="R90" s="3"/>
      <c r="S90" s="3" t="s">
        <v>48</v>
      </c>
      <c r="T90" s="3"/>
      <c r="U90" s="4" t="s">
        <v>1482</v>
      </c>
      <c r="V90" s="5" t="s">
        <v>1483</v>
      </c>
      <c r="W90" s="5"/>
      <c r="X90" s="5">
        <v>0</v>
      </c>
      <c r="Y90" s="5">
        <v>1</v>
      </c>
      <c r="Z90" s="5">
        <v>4</v>
      </c>
      <c r="AA90" s="5">
        <v>2</v>
      </c>
      <c r="AB90" s="5">
        <v>0</v>
      </c>
      <c r="AC90" s="5">
        <v>5</v>
      </c>
      <c r="AD90" s="5">
        <v>0</v>
      </c>
      <c r="AE90" s="5">
        <f t="shared" si="0"/>
        <v>12</v>
      </c>
      <c r="AF90" s="5" t="s">
        <v>53</v>
      </c>
    </row>
    <row r="91" spans="1:32" ht="15.75" customHeight="1" x14ac:dyDescent="0.2">
      <c r="A91" s="3" t="s">
        <v>1484</v>
      </c>
      <c r="B91" s="3" t="s">
        <v>55</v>
      </c>
      <c r="C91" s="3" t="s">
        <v>1485</v>
      </c>
      <c r="D91" s="3" t="s">
        <v>1486</v>
      </c>
      <c r="E91" s="3"/>
      <c r="F91" s="3" t="s">
        <v>1487</v>
      </c>
      <c r="G91" s="3" t="s">
        <v>1488</v>
      </c>
      <c r="H91" s="3" t="s">
        <v>39</v>
      </c>
      <c r="I91" s="3" t="s">
        <v>1489</v>
      </c>
      <c r="J91" s="3" t="s">
        <v>1490</v>
      </c>
      <c r="K91" s="3" t="s">
        <v>1491</v>
      </c>
      <c r="L91" s="3" t="s">
        <v>1492</v>
      </c>
      <c r="M91" s="3" t="s">
        <v>1493</v>
      </c>
      <c r="N91" s="3" t="s">
        <v>1494</v>
      </c>
      <c r="O91" s="4" t="s">
        <v>1495</v>
      </c>
      <c r="P91" s="4" t="s">
        <v>1496</v>
      </c>
      <c r="Q91" s="3" t="s">
        <v>48</v>
      </c>
      <c r="R91" s="3"/>
      <c r="S91" s="3" t="s">
        <v>49</v>
      </c>
      <c r="T91" s="3"/>
      <c r="U91" s="4" t="s">
        <v>1497</v>
      </c>
      <c r="V91" s="5" t="s">
        <v>1498</v>
      </c>
      <c r="W91" s="5" t="s">
        <v>1499</v>
      </c>
      <c r="X91" s="5">
        <v>25</v>
      </c>
      <c r="Y91" s="5">
        <v>1</v>
      </c>
      <c r="Z91" s="5">
        <v>6</v>
      </c>
      <c r="AA91" s="5">
        <v>4</v>
      </c>
      <c r="AB91" s="5">
        <v>4</v>
      </c>
      <c r="AC91" s="5">
        <v>0</v>
      </c>
      <c r="AD91" s="5">
        <v>0</v>
      </c>
      <c r="AE91" s="5">
        <f t="shared" si="0"/>
        <v>40</v>
      </c>
      <c r="AF91" s="5" t="s">
        <v>535</v>
      </c>
    </row>
    <row r="92" spans="1:32" ht="15.75" customHeight="1" x14ac:dyDescent="0.2">
      <c r="A92" s="3" t="s">
        <v>1500</v>
      </c>
      <c r="B92" s="3" t="s">
        <v>72</v>
      </c>
      <c r="C92" s="3" t="s">
        <v>1501</v>
      </c>
      <c r="D92" s="3" t="s">
        <v>1502</v>
      </c>
      <c r="E92" s="3"/>
      <c r="F92" s="3" t="s">
        <v>1503</v>
      </c>
      <c r="G92" s="3" t="s">
        <v>1504</v>
      </c>
      <c r="H92" s="3" t="s">
        <v>39</v>
      </c>
      <c r="I92" s="3" t="s">
        <v>1474</v>
      </c>
      <c r="J92" s="3" t="s">
        <v>1505</v>
      </c>
      <c r="K92" s="3" t="s">
        <v>1506</v>
      </c>
      <c r="L92" s="3" t="s">
        <v>1507</v>
      </c>
      <c r="M92" s="3" t="s">
        <v>1508</v>
      </c>
      <c r="N92" s="3" t="s">
        <v>1509</v>
      </c>
      <c r="O92" s="4" t="s">
        <v>1510</v>
      </c>
      <c r="P92" s="4" t="s">
        <v>1511</v>
      </c>
      <c r="Q92" s="3" t="s">
        <v>48</v>
      </c>
      <c r="R92" s="3"/>
      <c r="S92" s="3" t="s">
        <v>48</v>
      </c>
      <c r="T92" s="3"/>
      <c r="U92" s="4" t="s">
        <v>1512</v>
      </c>
      <c r="V92" s="5" t="s">
        <v>1513</v>
      </c>
      <c r="W92" s="5"/>
      <c r="X92" s="5">
        <v>0</v>
      </c>
      <c r="Y92" s="5">
        <v>1</v>
      </c>
      <c r="Z92" s="5">
        <v>1</v>
      </c>
      <c r="AA92" s="5">
        <v>2</v>
      </c>
      <c r="AB92" s="5">
        <v>0</v>
      </c>
      <c r="AC92" s="5">
        <v>5</v>
      </c>
      <c r="AD92" s="5">
        <v>0</v>
      </c>
      <c r="AE92" s="5">
        <f t="shared" si="0"/>
        <v>9</v>
      </c>
      <c r="AF92" s="5" t="s">
        <v>53</v>
      </c>
    </row>
    <row r="93" spans="1:32" ht="15.75" customHeight="1" x14ac:dyDescent="0.2">
      <c r="A93" s="3" t="s">
        <v>1514</v>
      </c>
      <c r="B93" s="3" t="s">
        <v>106</v>
      </c>
      <c r="C93" s="3" t="s">
        <v>1515</v>
      </c>
      <c r="D93" s="3" t="s">
        <v>1516</v>
      </c>
      <c r="E93" s="3" t="s">
        <v>1517</v>
      </c>
      <c r="F93" s="3" t="s">
        <v>1518</v>
      </c>
      <c r="G93" s="3" t="s">
        <v>1519</v>
      </c>
      <c r="H93" s="3" t="s">
        <v>39</v>
      </c>
      <c r="I93" s="3" t="s">
        <v>1520</v>
      </c>
      <c r="J93" s="3" t="s">
        <v>1521</v>
      </c>
      <c r="K93" s="3" t="s">
        <v>1522</v>
      </c>
      <c r="L93" s="3" t="s">
        <v>1523</v>
      </c>
      <c r="M93" s="3" t="s">
        <v>1524</v>
      </c>
      <c r="N93" s="3" t="s">
        <v>1525</v>
      </c>
      <c r="O93" s="4" t="s">
        <v>1526</v>
      </c>
      <c r="P93" s="4" t="s">
        <v>1527</v>
      </c>
      <c r="Q93" s="3" t="s">
        <v>49</v>
      </c>
      <c r="R93" s="3"/>
      <c r="S93" s="3" t="s">
        <v>49</v>
      </c>
      <c r="T93" s="3"/>
      <c r="U93" s="4" t="s">
        <v>1528</v>
      </c>
      <c r="V93" s="5" t="s">
        <v>1529</v>
      </c>
      <c r="W93" s="5"/>
      <c r="X93" s="5">
        <v>0</v>
      </c>
      <c r="Y93" s="5">
        <v>0</v>
      </c>
      <c r="Z93" s="5">
        <v>3</v>
      </c>
      <c r="AA93" s="5">
        <v>2</v>
      </c>
      <c r="AB93" s="5">
        <v>0</v>
      </c>
      <c r="AC93" s="5">
        <v>5</v>
      </c>
      <c r="AD93" s="5">
        <v>0</v>
      </c>
      <c r="AE93" s="5">
        <f t="shared" si="0"/>
        <v>10</v>
      </c>
      <c r="AF93" s="5" t="s">
        <v>53</v>
      </c>
    </row>
    <row r="94" spans="1:32" ht="15.75" customHeight="1" x14ac:dyDescent="0.2">
      <c r="A94" s="3" t="s">
        <v>1530</v>
      </c>
      <c r="B94" s="3" t="s">
        <v>1531</v>
      </c>
      <c r="C94" s="3" t="s">
        <v>1532</v>
      </c>
      <c r="D94" s="3" t="s">
        <v>1533</v>
      </c>
      <c r="E94" s="3" t="s">
        <v>49</v>
      </c>
      <c r="F94" s="3" t="s">
        <v>1534</v>
      </c>
      <c r="G94" s="3" t="s">
        <v>1535</v>
      </c>
      <c r="H94" s="3" t="s">
        <v>39</v>
      </c>
      <c r="I94" s="3" t="s">
        <v>1536</v>
      </c>
      <c r="J94" s="3" t="s">
        <v>1537</v>
      </c>
      <c r="K94" s="3" t="s">
        <v>1538</v>
      </c>
      <c r="L94" s="3" t="s">
        <v>1539</v>
      </c>
      <c r="M94" s="3" t="s">
        <v>1540</v>
      </c>
      <c r="N94" s="3" t="s">
        <v>1541</v>
      </c>
      <c r="O94" s="4" t="s">
        <v>1542</v>
      </c>
      <c r="P94" s="4" t="s">
        <v>1543</v>
      </c>
      <c r="Q94" s="3" t="s">
        <v>49</v>
      </c>
      <c r="R94" s="3"/>
      <c r="S94" s="3" t="s">
        <v>49</v>
      </c>
      <c r="T94" s="3"/>
      <c r="U94" s="4" t="s">
        <v>1544</v>
      </c>
      <c r="V94" s="5" t="s">
        <v>1545</v>
      </c>
      <c r="W94" s="5" t="s">
        <v>1546</v>
      </c>
      <c r="X94" s="5">
        <v>5</v>
      </c>
      <c r="Y94" s="5">
        <v>1</v>
      </c>
      <c r="Z94" s="5">
        <v>4</v>
      </c>
      <c r="AA94" s="5">
        <v>2</v>
      </c>
      <c r="AB94" s="5">
        <v>4</v>
      </c>
      <c r="AC94" s="5">
        <v>5</v>
      </c>
      <c r="AD94" s="5">
        <v>0</v>
      </c>
      <c r="AE94" s="5">
        <f t="shared" si="0"/>
        <v>21</v>
      </c>
      <c r="AF94" s="5" t="s">
        <v>53</v>
      </c>
    </row>
    <row r="95" spans="1:32" ht="15.75" customHeight="1" x14ac:dyDescent="0.2">
      <c r="A95" s="3" t="s">
        <v>1547</v>
      </c>
      <c r="B95" s="3" t="s">
        <v>106</v>
      </c>
      <c r="C95" s="3" t="s">
        <v>1548</v>
      </c>
      <c r="D95" s="3" t="s">
        <v>1549</v>
      </c>
      <c r="E95" s="3" t="s">
        <v>1550</v>
      </c>
      <c r="F95" s="3" t="s">
        <v>1551</v>
      </c>
      <c r="G95" s="3" t="s">
        <v>1552</v>
      </c>
      <c r="H95" s="3" t="s">
        <v>39</v>
      </c>
      <c r="I95" s="3" t="s">
        <v>1553</v>
      </c>
      <c r="J95" s="3" t="s">
        <v>410</v>
      </c>
      <c r="K95" s="3" t="s">
        <v>1554</v>
      </c>
      <c r="L95" s="3" t="s">
        <v>1555</v>
      </c>
      <c r="M95" s="3" t="s">
        <v>1556</v>
      </c>
      <c r="N95" s="3" t="s">
        <v>1557</v>
      </c>
      <c r="O95" s="4" t="s">
        <v>1558</v>
      </c>
      <c r="P95" s="4" t="s">
        <v>1559</v>
      </c>
      <c r="Q95" s="3" t="s">
        <v>48</v>
      </c>
      <c r="R95" s="3" t="s">
        <v>1560</v>
      </c>
      <c r="S95" s="3" t="s">
        <v>48</v>
      </c>
      <c r="T95" s="3" t="s">
        <v>1561</v>
      </c>
      <c r="U95" s="4" t="s">
        <v>1562</v>
      </c>
      <c r="V95" s="5" t="s">
        <v>1563</v>
      </c>
      <c r="W95" s="5"/>
      <c r="X95" s="5">
        <v>0</v>
      </c>
      <c r="Y95" s="5">
        <v>1</v>
      </c>
      <c r="Z95" s="5">
        <v>7</v>
      </c>
      <c r="AA95" s="5">
        <v>5</v>
      </c>
      <c r="AB95" s="5">
        <v>0</v>
      </c>
      <c r="AC95" s="5">
        <v>5</v>
      </c>
      <c r="AD95" s="5">
        <v>0</v>
      </c>
      <c r="AE95" s="5">
        <f t="shared" si="0"/>
        <v>18</v>
      </c>
      <c r="AF95" s="5" t="s">
        <v>53</v>
      </c>
    </row>
    <row r="96" spans="1:32" ht="15.75" customHeight="1" x14ac:dyDescent="0.2">
      <c r="A96" s="3" t="s">
        <v>1564</v>
      </c>
      <c r="B96" s="3" t="s">
        <v>106</v>
      </c>
      <c r="C96" s="3" t="s">
        <v>1565</v>
      </c>
      <c r="D96" s="3" t="s">
        <v>1566</v>
      </c>
      <c r="E96" s="3" t="s">
        <v>1567</v>
      </c>
      <c r="F96" s="3" t="s">
        <v>1568</v>
      </c>
      <c r="G96" s="3" t="s">
        <v>1569</v>
      </c>
      <c r="H96" s="3" t="s">
        <v>39</v>
      </c>
      <c r="I96" s="3" t="s">
        <v>1570</v>
      </c>
      <c r="J96" s="3" t="s">
        <v>1571</v>
      </c>
      <c r="K96" s="3" t="s">
        <v>1572</v>
      </c>
      <c r="L96" s="3" t="s">
        <v>1573</v>
      </c>
      <c r="M96" s="3" t="s">
        <v>1574</v>
      </c>
      <c r="N96" s="3" t="s">
        <v>1575</v>
      </c>
      <c r="O96" s="4" t="s">
        <v>1576</v>
      </c>
      <c r="P96" s="4" t="s">
        <v>1577</v>
      </c>
      <c r="Q96" s="3" t="s">
        <v>48</v>
      </c>
      <c r="R96" s="3" t="s">
        <v>1433</v>
      </c>
      <c r="S96" s="3" t="s">
        <v>48</v>
      </c>
      <c r="T96" s="3" t="s">
        <v>1433</v>
      </c>
      <c r="U96" s="4" t="s">
        <v>1578</v>
      </c>
      <c r="V96" s="5" t="s">
        <v>1579</v>
      </c>
      <c r="W96" s="5" t="s">
        <v>1579</v>
      </c>
      <c r="X96" s="5">
        <v>5</v>
      </c>
      <c r="Y96" s="5">
        <v>1</v>
      </c>
      <c r="Z96" s="5">
        <v>7</v>
      </c>
      <c r="AA96" s="5">
        <v>3</v>
      </c>
      <c r="AB96" s="5">
        <v>4</v>
      </c>
      <c r="AC96" s="5">
        <v>5</v>
      </c>
      <c r="AD96" s="5">
        <v>0</v>
      </c>
      <c r="AE96" s="5">
        <f t="shared" si="0"/>
        <v>25</v>
      </c>
      <c r="AF96" s="5" t="s">
        <v>53</v>
      </c>
    </row>
    <row r="97" spans="1:32" ht="15.75" customHeight="1" x14ac:dyDescent="0.2">
      <c r="A97" s="3" t="s">
        <v>1580</v>
      </c>
      <c r="B97" s="3" t="s">
        <v>106</v>
      </c>
      <c r="C97" s="3" t="s">
        <v>1581</v>
      </c>
      <c r="D97" s="3" t="s">
        <v>1582</v>
      </c>
      <c r="E97" s="3" t="s">
        <v>1583</v>
      </c>
      <c r="F97" s="3" t="s">
        <v>1584</v>
      </c>
      <c r="G97" s="3" t="s">
        <v>1585</v>
      </c>
      <c r="H97" s="3" t="s">
        <v>39</v>
      </c>
      <c r="I97" s="3" t="s">
        <v>1586</v>
      </c>
      <c r="J97" s="3" t="s">
        <v>1587</v>
      </c>
      <c r="K97" s="3" t="s">
        <v>1588</v>
      </c>
      <c r="L97" s="3" t="s">
        <v>1589</v>
      </c>
      <c r="M97" s="3" t="s">
        <v>1590</v>
      </c>
      <c r="N97" s="3" t="s">
        <v>1591</v>
      </c>
      <c r="O97" s="4" t="s">
        <v>1592</v>
      </c>
      <c r="P97" s="4" t="s">
        <v>1593</v>
      </c>
      <c r="Q97" s="3" t="s">
        <v>49</v>
      </c>
      <c r="R97" s="3"/>
      <c r="S97" s="3" t="s">
        <v>49</v>
      </c>
      <c r="T97" s="3"/>
      <c r="U97" s="4" t="s">
        <v>1594</v>
      </c>
      <c r="V97" s="5" t="s">
        <v>1595</v>
      </c>
      <c r="W97" s="5" t="s">
        <v>1595</v>
      </c>
      <c r="X97" s="5">
        <v>5</v>
      </c>
      <c r="Y97" s="5">
        <v>0</v>
      </c>
      <c r="Z97" s="5">
        <v>6</v>
      </c>
      <c r="AA97" s="5">
        <v>3</v>
      </c>
      <c r="AB97" s="5">
        <v>2</v>
      </c>
      <c r="AC97" s="5">
        <v>5</v>
      </c>
      <c r="AD97" s="5">
        <v>0</v>
      </c>
      <c r="AE97" s="5">
        <f t="shared" si="0"/>
        <v>21</v>
      </c>
      <c r="AF97" s="5" t="s">
        <v>53</v>
      </c>
    </row>
    <row r="98" spans="1:32" ht="15.75" customHeight="1" x14ac:dyDescent="0.2">
      <c r="A98" s="3" t="s">
        <v>1596</v>
      </c>
      <c r="B98" s="3" t="s">
        <v>72</v>
      </c>
      <c r="C98" s="3" t="s">
        <v>1597</v>
      </c>
      <c r="D98" s="3" t="s">
        <v>1598</v>
      </c>
      <c r="E98" s="3" t="s">
        <v>1599</v>
      </c>
      <c r="F98" s="3" t="s">
        <v>1600</v>
      </c>
      <c r="G98" s="3" t="s">
        <v>1601</v>
      </c>
      <c r="H98" s="3" t="s">
        <v>39</v>
      </c>
      <c r="I98" s="3" t="s">
        <v>1602</v>
      </c>
      <c r="J98" s="3" t="s">
        <v>1328</v>
      </c>
      <c r="K98" s="3" t="s">
        <v>1603</v>
      </c>
      <c r="L98" s="3" t="s">
        <v>1604</v>
      </c>
      <c r="M98" s="3" t="s">
        <v>1605</v>
      </c>
      <c r="N98" s="3" t="s">
        <v>1606</v>
      </c>
      <c r="O98" s="4" t="s">
        <v>1607</v>
      </c>
      <c r="P98" s="4" t="s">
        <v>1608</v>
      </c>
      <c r="Q98" s="3" t="s">
        <v>49</v>
      </c>
      <c r="R98" s="3"/>
      <c r="S98" s="3" t="s">
        <v>49</v>
      </c>
      <c r="T98" s="3"/>
      <c r="U98" s="4" t="s">
        <v>1609</v>
      </c>
      <c r="V98" s="5" t="s">
        <v>1610</v>
      </c>
      <c r="W98" s="5" t="s">
        <v>1610</v>
      </c>
      <c r="X98" s="5">
        <v>20</v>
      </c>
      <c r="Y98" s="5">
        <v>1</v>
      </c>
      <c r="Z98" s="5">
        <v>1</v>
      </c>
      <c r="AA98" s="5">
        <v>0</v>
      </c>
      <c r="AB98" s="5">
        <v>4</v>
      </c>
      <c r="AC98" s="5">
        <v>5</v>
      </c>
      <c r="AD98" s="5">
        <v>0</v>
      </c>
      <c r="AE98" s="5">
        <f t="shared" si="0"/>
        <v>31</v>
      </c>
      <c r="AF98" s="5" t="s">
        <v>535</v>
      </c>
    </row>
    <row r="99" spans="1:32" ht="15.75" customHeight="1" x14ac:dyDescent="0.2">
      <c r="A99" s="3" t="s">
        <v>1611</v>
      </c>
      <c r="B99" s="3" t="s">
        <v>72</v>
      </c>
      <c r="C99" s="3" t="s">
        <v>1612</v>
      </c>
      <c r="D99" s="3" t="s">
        <v>1613</v>
      </c>
      <c r="E99" s="3"/>
      <c r="F99" s="3" t="s">
        <v>1614</v>
      </c>
      <c r="G99" s="3" t="s">
        <v>1615</v>
      </c>
      <c r="H99" s="3" t="s">
        <v>39</v>
      </c>
      <c r="I99" s="3" t="s">
        <v>1616</v>
      </c>
      <c r="J99" s="3" t="s">
        <v>1617</v>
      </c>
      <c r="K99" s="3" t="s">
        <v>1618</v>
      </c>
      <c r="L99" s="3" t="s">
        <v>1619</v>
      </c>
      <c r="M99" s="3" t="s">
        <v>1620</v>
      </c>
      <c r="N99" s="3" t="s">
        <v>1621</v>
      </c>
      <c r="O99" s="4" t="s">
        <v>1622</v>
      </c>
      <c r="P99" s="4" t="s">
        <v>1623</v>
      </c>
      <c r="Q99" s="3" t="s">
        <v>49</v>
      </c>
      <c r="R99" s="3"/>
      <c r="S99" s="3" t="s">
        <v>48</v>
      </c>
      <c r="T99" s="3"/>
      <c r="U99" s="4" t="s">
        <v>1624</v>
      </c>
      <c r="V99" s="5" t="s">
        <v>1625</v>
      </c>
      <c r="W99" s="5" t="s">
        <v>1625</v>
      </c>
      <c r="X99" s="5">
        <v>25</v>
      </c>
      <c r="Y99" s="5">
        <v>0</v>
      </c>
      <c r="Z99" s="5">
        <v>5</v>
      </c>
      <c r="AA99" s="5">
        <v>4</v>
      </c>
      <c r="AB99" s="5">
        <v>4</v>
      </c>
      <c r="AC99" s="5">
        <v>5</v>
      </c>
      <c r="AD99" s="5">
        <v>0</v>
      </c>
      <c r="AE99" s="5">
        <f t="shared" si="0"/>
        <v>43</v>
      </c>
      <c r="AF99" s="5" t="s">
        <v>535</v>
      </c>
    </row>
    <row r="100" spans="1:32" ht="15.75" customHeight="1" x14ac:dyDescent="0.2">
      <c r="A100" s="3" t="s">
        <v>1626</v>
      </c>
      <c r="B100" s="3" t="s">
        <v>55</v>
      </c>
      <c r="C100" s="3" t="s">
        <v>1627</v>
      </c>
      <c r="D100" s="3" t="s">
        <v>1628</v>
      </c>
      <c r="E100" s="3" t="s">
        <v>258</v>
      </c>
      <c r="F100" s="3" t="s">
        <v>1629</v>
      </c>
      <c r="G100" s="3" t="s">
        <v>1630</v>
      </c>
      <c r="H100" s="3" t="s">
        <v>39</v>
      </c>
      <c r="I100" s="3" t="s">
        <v>1631</v>
      </c>
      <c r="J100" s="3" t="s">
        <v>1632</v>
      </c>
      <c r="K100" s="3" t="s">
        <v>1633</v>
      </c>
      <c r="L100" s="3" t="s">
        <v>1634</v>
      </c>
      <c r="M100" s="3" t="s">
        <v>1635</v>
      </c>
      <c r="N100" s="3" t="s">
        <v>1636</v>
      </c>
      <c r="O100" s="4" t="s">
        <v>1637</v>
      </c>
      <c r="P100" s="4" t="s">
        <v>1638</v>
      </c>
      <c r="Q100" s="3" t="s">
        <v>49</v>
      </c>
      <c r="R100" s="3"/>
      <c r="S100" s="3" t="s">
        <v>49</v>
      </c>
      <c r="T100" s="3"/>
      <c r="U100" s="4" t="s">
        <v>1639</v>
      </c>
      <c r="V100" s="5" t="s">
        <v>1640</v>
      </c>
      <c r="W100" s="5" t="s">
        <v>1640</v>
      </c>
      <c r="X100" s="5">
        <v>15</v>
      </c>
      <c r="Y100" s="5">
        <v>1</v>
      </c>
      <c r="Z100" s="5">
        <v>7</v>
      </c>
      <c r="AA100" s="5">
        <v>3</v>
      </c>
      <c r="AB100" s="5">
        <v>4</v>
      </c>
      <c r="AC100" s="5">
        <v>0</v>
      </c>
      <c r="AD100" s="5">
        <v>0</v>
      </c>
      <c r="AE100" s="5">
        <f t="shared" si="0"/>
        <v>30</v>
      </c>
      <c r="AF100" s="5" t="s">
        <v>355</v>
      </c>
    </row>
    <row r="101" spans="1:32" ht="15.75" customHeight="1" x14ac:dyDescent="0.2">
      <c r="A101" s="3" t="s">
        <v>1641</v>
      </c>
      <c r="B101" s="3" t="s">
        <v>106</v>
      </c>
      <c r="C101" s="3" t="s">
        <v>1642</v>
      </c>
      <c r="D101" s="3" t="s">
        <v>1643</v>
      </c>
      <c r="E101" s="3" t="s">
        <v>1644</v>
      </c>
      <c r="F101" s="3" t="s">
        <v>1645</v>
      </c>
      <c r="G101" s="3" t="s">
        <v>1646</v>
      </c>
      <c r="H101" s="3" t="s">
        <v>94</v>
      </c>
      <c r="I101" s="3" t="s">
        <v>1647</v>
      </c>
      <c r="J101" s="3" t="s">
        <v>1648</v>
      </c>
      <c r="K101" s="3" t="s">
        <v>1649</v>
      </c>
      <c r="L101" s="3" t="s">
        <v>1650</v>
      </c>
      <c r="M101" s="3" t="s">
        <v>1651</v>
      </c>
      <c r="N101" s="3" t="s">
        <v>1652</v>
      </c>
      <c r="O101" s="4" t="s">
        <v>1653</v>
      </c>
      <c r="P101" s="4" t="s">
        <v>1654</v>
      </c>
      <c r="Q101" s="3" t="s">
        <v>49</v>
      </c>
      <c r="R101" s="3"/>
      <c r="S101" s="3" t="s">
        <v>49</v>
      </c>
      <c r="T101" s="3"/>
      <c r="U101" s="4" t="s">
        <v>1655</v>
      </c>
      <c r="V101" s="5" t="s">
        <v>1656</v>
      </c>
      <c r="W101" s="5"/>
      <c r="X101" s="5"/>
      <c r="Y101" s="5"/>
      <c r="Z101" s="5"/>
      <c r="AA101" s="5"/>
      <c r="AB101" s="5"/>
      <c r="AC101" s="5"/>
      <c r="AD101" s="5"/>
      <c r="AE101" s="5">
        <f t="shared" si="0"/>
        <v>0</v>
      </c>
      <c r="AF101" s="5"/>
    </row>
    <row r="102" spans="1:32" ht="15.75" customHeight="1" x14ac:dyDescent="0.2">
      <c r="A102" s="3" t="s">
        <v>1657</v>
      </c>
      <c r="B102" s="3" t="s">
        <v>55</v>
      </c>
      <c r="C102" s="3" t="s">
        <v>1658</v>
      </c>
      <c r="D102" s="3" t="s">
        <v>1659</v>
      </c>
      <c r="E102" s="3" t="s">
        <v>1660</v>
      </c>
      <c r="F102" s="3" t="s">
        <v>1661</v>
      </c>
      <c r="G102" s="3" t="s">
        <v>1662</v>
      </c>
      <c r="H102" s="3" t="s">
        <v>94</v>
      </c>
      <c r="I102" s="3" t="s">
        <v>1663</v>
      </c>
      <c r="J102" s="3" t="s">
        <v>1664</v>
      </c>
      <c r="K102" s="3" t="s">
        <v>1665</v>
      </c>
      <c r="L102" s="3" t="s">
        <v>1666</v>
      </c>
      <c r="M102" s="3" t="s">
        <v>1667</v>
      </c>
      <c r="N102" s="3" t="s">
        <v>1668</v>
      </c>
      <c r="O102" s="4" t="s">
        <v>1669</v>
      </c>
      <c r="P102" s="4" t="s">
        <v>1670</v>
      </c>
      <c r="Q102" s="3" t="s">
        <v>48</v>
      </c>
      <c r="R102" s="3" t="s">
        <v>1671</v>
      </c>
      <c r="S102" s="3" t="s">
        <v>48</v>
      </c>
      <c r="T102" s="3" t="s">
        <v>1671</v>
      </c>
      <c r="U102" s="4" t="s">
        <v>1672</v>
      </c>
      <c r="V102" s="5" t="s">
        <v>1673</v>
      </c>
      <c r="W102" s="5"/>
      <c r="X102" s="5">
        <v>0</v>
      </c>
      <c r="Y102" s="5">
        <v>0</v>
      </c>
      <c r="Z102" s="5">
        <v>7</v>
      </c>
      <c r="AA102" s="5">
        <v>2</v>
      </c>
      <c r="AB102" s="5">
        <v>0</v>
      </c>
      <c r="AC102" s="5">
        <v>0</v>
      </c>
      <c r="AD102" s="5">
        <v>5</v>
      </c>
      <c r="AE102" s="5">
        <f t="shared" si="0"/>
        <v>14</v>
      </c>
      <c r="AF102" s="5" t="s">
        <v>53</v>
      </c>
    </row>
    <row r="103" spans="1:32" ht="15.75" customHeight="1" x14ac:dyDescent="0.2">
      <c r="A103" s="3" t="s">
        <v>1674</v>
      </c>
      <c r="B103" s="3" t="s">
        <v>106</v>
      </c>
      <c r="C103" s="3" t="s">
        <v>1675</v>
      </c>
      <c r="D103" s="3" t="s">
        <v>1676</v>
      </c>
      <c r="E103" s="3" t="s">
        <v>1677</v>
      </c>
      <c r="F103" s="3" t="s">
        <v>1678</v>
      </c>
      <c r="G103" s="3" t="s">
        <v>1679</v>
      </c>
      <c r="H103" s="3" t="s">
        <v>39</v>
      </c>
      <c r="I103" s="3" t="s">
        <v>1680</v>
      </c>
      <c r="J103" s="3" t="s">
        <v>1681</v>
      </c>
      <c r="K103" s="3" t="s">
        <v>1682</v>
      </c>
      <c r="L103" s="3" t="s">
        <v>1683</v>
      </c>
      <c r="M103" s="3" t="s">
        <v>1684</v>
      </c>
      <c r="N103" s="3" t="s">
        <v>1685</v>
      </c>
      <c r="O103" s="4" t="s">
        <v>1686</v>
      </c>
      <c r="P103" s="4" t="s">
        <v>1687</v>
      </c>
      <c r="Q103" s="3" t="s">
        <v>49</v>
      </c>
      <c r="R103" s="3"/>
      <c r="S103" s="3" t="s">
        <v>49</v>
      </c>
      <c r="T103" s="3"/>
      <c r="U103" s="4" t="s">
        <v>1688</v>
      </c>
      <c r="V103" s="5" t="s">
        <v>1689</v>
      </c>
      <c r="W103" s="5" t="s">
        <v>1690</v>
      </c>
      <c r="X103" s="5">
        <v>10</v>
      </c>
      <c r="Y103" s="5">
        <v>1</v>
      </c>
      <c r="Z103" s="5">
        <v>1</v>
      </c>
      <c r="AA103" s="5">
        <v>0</v>
      </c>
      <c r="AB103" s="5">
        <v>0</v>
      </c>
      <c r="AC103" s="5">
        <v>5</v>
      </c>
      <c r="AD103" s="5">
        <v>0</v>
      </c>
      <c r="AE103" s="5">
        <f t="shared" si="0"/>
        <v>17</v>
      </c>
      <c r="AF103" s="5" t="s">
        <v>53</v>
      </c>
    </row>
    <row r="104" spans="1:32" ht="15.75" customHeight="1" x14ac:dyDescent="0.2">
      <c r="A104" s="3" t="s">
        <v>1691</v>
      </c>
      <c r="B104" s="3" t="s">
        <v>55</v>
      </c>
      <c r="C104" s="3" t="s">
        <v>1692</v>
      </c>
      <c r="D104" s="3" t="s">
        <v>340</v>
      </c>
      <c r="E104" s="3" t="s">
        <v>1693</v>
      </c>
      <c r="F104" s="3" t="s">
        <v>1694</v>
      </c>
      <c r="G104" s="3" t="s">
        <v>1695</v>
      </c>
      <c r="H104" s="3" t="s">
        <v>39</v>
      </c>
      <c r="I104" s="3" t="s">
        <v>1696</v>
      </c>
      <c r="J104" s="3" t="s">
        <v>1697</v>
      </c>
      <c r="K104" s="3" t="s">
        <v>1698</v>
      </c>
      <c r="L104" s="3" t="s">
        <v>1699</v>
      </c>
      <c r="M104" s="3" t="s">
        <v>1700</v>
      </c>
      <c r="N104" s="3" t="s">
        <v>1701</v>
      </c>
      <c r="O104" s="4" t="s">
        <v>1702</v>
      </c>
      <c r="P104" s="4" t="s">
        <v>1703</v>
      </c>
      <c r="Q104" s="3" t="s">
        <v>48</v>
      </c>
      <c r="R104" s="3"/>
      <c r="S104" s="3" t="s">
        <v>49</v>
      </c>
      <c r="T104" s="3"/>
      <c r="U104" s="4" t="s">
        <v>1704</v>
      </c>
      <c r="V104" s="5" t="s">
        <v>1705</v>
      </c>
      <c r="W104" s="5" t="s">
        <v>1706</v>
      </c>
      <c r="X104" s="5">
        <v>20</v>
      </c>
      <c r="Y104" s="5">
        <v>0</v>
      </c>
      <c r="Z104" s="5">
        <v>6</v>
      </c>
      <c r="AA104" s="5">
        <v>3</v>
      </c>
      <c r="AB104" s="5">
        <v>4</v>
      </c>
      <c r="AC104" s="5">
        <v>0</v>
      </c>
      <c r="AD104" s="5">
        <v>0</v>
      </c>
      <c r="AE104" s="5">
        <f t="shared" si="0"/>
        <v>33</v>
      </c>
      <c r="AF104" s="5" t="s">
        <v>535</v>
      </c>
    </row>
    <row r="105" spans="1:32" ht="15.75" customHeight="1" x14ac:dyDescent="0.2">
      <c r="A105" s="3" t="s">
        <v>1707</v>
      </c>
      <c r="B105" s="3" t="s">
        <v>55</v>
      </c>
      <c r="C105" s="3" t="s">
        <v>1708</v>
      </c>
      <c r="D105" s="3" t="s">
        <v>1709</v>
      </c>
      <c r="E105" s="3" t="s">
        <v>1710</v>
      </c>
      <c r="F105" s="3" t="s">
        <v>1711</v>
      </c>
      <c r="G105" s="3" t="s">
        <v>1712</v>
      </c>
      <c r="H105" s="3" t="s">
        <v>94</v>
      </c>
      <c r="I105" s="3" t="s">
        <v>1713</v>
      </c>
      <c r="J105" s="3" t="s">
        <v>1714</v>
      </c>
      <c r="K105" s="3" t="s">
        <v>1715</v>
      </c>
      <c r="L105" s="3" t="s">
        <v>1716</v>
      </c>
      <c r="M105" s="3" t="s">
        <v>1717</v>
      </c>
      <c r="N105" s="3" t="s">
        <v>1718</v>
      </c>
      <c r="O105" s="4" t="s">
        <v>1719</v>
      </c>
      <c r="P105" s="4" t="s">
        <v>1720</v>
      </c>
      <c r="Q105" s="3" t="s">
        <v>48</v>
      </c>
      <c r="R105" s="3"/>
      <c r="S105" s="3" t="s">
        <v>48</v>
      </c>
      <c r="T105" s="3"/>
      <c r="U105" s="4" t="s">
        <v>1721</v>
      </c>
      <c r="V105" s="5" t="s">
        <v>1722</v>
      </c>
      <c r="W105" s="5"/>
      <c r="X105" s="5"/>
      <c r="Y105" s="5"/>
      <c r="Z105" s="5"/>
      <c r="AA105" s="5"/>
      <c r="AB105" s="5"/>
      <c r="AC105" s="5"/>
      <c r="AD105" s="5"/>
      <c r="AE105" s="5">
        <f t="shared" si="0"/>
        <v>0</v>
      </c>
      <c r="AF105" s="5"/>
    </row>
    <row r="106" spans="1:32" ht="15.75" customHeight="1" x14ac:dyDescent="0.2">
      <c r="A106" s="3" t="s">
        <v>1723</v>
      </c>
      <c r="B106" s="3" t="s">
        <v>106</v>
      </c>
      <c r="C106" s="3" t="s">
        <v>1724</v>
      </c>
      <c r="D106" s="3" t="s">
        <v>1725</v>
      </c>
      <c r="E106" s="3" t="s">
        <v>1726</v>
      </c>
      <c r="F106" s="3" t="s">
        <v>1727</v>
      </c>
      <c r="G106" s="3" t="s">
        <v>1728</v>
      </c>
      <c r="H106" s="3" t="s">
        <v>39</v>
      </c>
      <c r="I106" s="3" t="s">
        <v>1729</v>
      </c>
      <c r="J106" s="3" t="s">
        <v>1730</v>
      </c>
      <c r="K106" s="3" t="s">
        <v>1731</v>
      </c>
      <c r="L106" s="3" t="s">
        <v>1732</v>
      </c>
      <c r="M106" s="3" t="s">
        <v>1733</v>
      </c>
      <c r="N106" s="3" t="s">
        <v>1734</v>
      </c>
      <c r="O106" s="4" t="s">
        <v>1735</v>
      </c>
      <c r="P106" s="4" t="s">
        <v>1736</v>
      </c>
      <c r="Q106" s="3" t="s">
        <v>48</v>
      </c>
      <c r="R106" s="3"/>
      <c r="S106" s="3" t="s">
        <v>48</v>
      </c>
      <c r="T106" s="3"/>
      <c r="U106" s="4" t="s">
        <v>1737</v>
      </c>
      <c r="V106" s="5" t="s">
        <v>1738</v>
      </c>
      <c r="W106" s="5" t="s">
        <v>1738</v>
      </c>
      <c r="X106" s="5">
        <v>15</v>
      </c>
      <c r="Y106" s="5">
        <v>4</v>
      </c>
      <c r="Z106" s="5">
        <v>7</v>
      </c>
      <c r="AA106" s="5">
        <v>4</v>
      </c>
      <c r="AB106" s="5">
        <v>4</v>
      </c>
      <c r="AC106" s="5">
        <v>5</v>
      </c>
      <c r="AD106" s="5">
        <v>0</v>
      </c>
      <c r="AE106" s="5">
        <f t="shared" si="0"/>
        <v>39</v>
      </c>
      <c r="AF106" s="5" t="s">
        <v>355</v>
      </c>
    </row>
    <row r="107" spans="1:32" ht="15.75" customHeight="1" x14ac:dyDescent="0.2">
      <c r="A107" s="3" t="s">
        <v>1739</v>
      </c>
      <c r="B107" s="3" t="s">
        <v>55</v>
      </c>
      <c r="C107" s="3" t="s">
        <v>1740</v>
      </c>
      <c r="D107" s="3" t="s">
        <v>1741</v>
      </c>
      <c r="E107" s="3" t="s">
        <v>1742</v>
      </c>
      <c r="F107" s="3" t="s">
        <v>1743</v>
      </c>
      <c r="G107" s="3" t="s">
        <v>1744</v>
      </c>
      <c r="H107" s="3" t="s">
        <v>94</v>
      </c>
      <c r="I107" s="3" t="s">
        <v>850</v>
      </c>
      <c r="J107" s="3" t="s">
        <v>1745</v>
      </c>
      <c r="K107" s="3" t="s">
        <v>1746</v>
      </c>
      <c r="L107" s="3" t="s">
        <v>1747</v>
      </c>
      <c r="M107" s="3" t="s">
        <v>1748</v>
      </c>
      <c r="N107" s="3" t="s">
        <v>1749</v>
      </c>
      <c r="O107" s="4" t="s">
        <v>1750</v>
      </c>
      <c r="P107" s="4" t="s">
        <v>1751</v>
      </c>
      <c r="Q107" s="3" t="s">
        <v>48</v>
      </c>
      <c r="R107" s="3" t="s">
        <v>48</v>
      </c>
      <c r="S107" s="3" t="s">
        <v>48</v>
      </c>
      <c r="T107" s="3" t="s">
        <v>48</v>
      </c>
      <c r="U107" s="4" t="s">
        <v>1752</v>
      </c>
      <c r="V107" s="5" t="s">
        <v>1753</v>
      </c>
      <c r="W107" s="5" t="s">
        <v>1754</v>
      </c>
      <c r="X107" s="5">
        <v>15</v>
      </c>
      <c r="Y107" s="5">
        <v>1</v>
      </c>
      <c r="Z107" s="5">
        <v>6</v>
      </c>
      <c r="AA107" s="5">
        <v>3</v>
      </c>
      <c r="AB107" s="5">
        <v>4</v>
      </c>
      <c r="AC107" s="5">
        <v>0</v>
      </c>
      <c r="AD107" s="5">
        <v>5</v>
      </c>
      <c r="AE107" s="5">
        <f t="shared" si="0"/>
        <v>34</v>
      </c>
      <c r="AF107" s="5" t="s">
        <v>355</v>
      </c>
    </row>
    <row r="108" spans="1:32" ht="15.75" customHeight="1" x14ac:dyDescent="0.2">
      <c r="A108" s="3" t="s">
        <v>1755</v>
      </c>
      <c r="B108" s="3" t="s">
        <v>1756</v>
      </c>
      <c r="C108" s="3" t="s">
        <v>1757</v>
      </c>
      <c r="D108" s="3" t="s">
        <v>1758</v>
      </c>
      <c r="E108" s="3" t="s">
        <v>1759</v>
      </c>
      <c r="F108" s="3" t="s">
        <v>1760</v>
      </c>
      <c r="G108" s="3" t="s">
        <v>1761</v>
      </c>
      <c r="H108" s="3" t="s">
        <v>94</v>
      </c>
      <c r="I108" s="3" t="s">
        <v>1762</v>
      </c>
      <c r="J108" s="3" t="s">
        <v>1763</v>
      </c>
      <c r="K108" s="3" t="s">
        <v>1764</v>
      </c>
      <c r="L108" s="3" t="s">
        <v>1765</v>
      </c>
      <c r="M108" s="3" t="s">
        <v>1766</v>
      </c>
      <c r="N108" s="3" t="s">
        <v>1767</v>
      </c>
      <c r="O108" s="4" t="s">
        <v>1768</v>
      </c>
      <c r="P108" s="4" t="s">
        <v>1769</v>
      </c>
      <c r="Q108" s="3" t="s">
        <v>48</v>
      </c>
      <c r="R108" s="3"/>
      <c r="S108" s="3" t="s">
        <v>49</v>
      </c>
      <c r="T108" s="3"/>
      <c r="U108" s="4" t="s">
        <v>1770</v>
      </c>
      <c r="V108" s="5" t="s">
        <v>1771</v>
      </c>
      <c r="W108" s="5" t="s">
        <v>1772</v>
      </c>
      <c r="X108" s="5">
        <v>10</v>
      </c>
      <c r="Y108" s="5">
        <v>0</v>
      </c>
      <c r="Z108" s="5">
        <v>6</v>
      </c>
      <c r="AA108" s="5">
        <v>4</v>
      </c>
      <c r="AB108" s="5">
        <v>2</v>
      </c>
      <c r="AC108" s="5">
        <v>5</v>
      </c>
      <c r="AD108" s="5">
        <v>5</v>
      </c>
      <c r="AE108" s="5">
        <f t="shared" si="0"/>
        <v>32</v>
      </c>
      <c r="AF108" s="5" t="s">
        <v>53</v>
      </c>
    </row>
    <row r="109" spans="1:32" ht="15.75" customHeight="1" x14ac:dyDescent="0.2">
      <c r="A109" s="3" t="s">
        <v>1773</v>
      </c>
      <c r="B109" s="3" t="s">
        <v>72</v>
      </c>
      <c r="C109" s="3" t="s">
        <v>1774</v>
      </c>
      <c r="D109" s="3" t="s">
        <v>1775</v>
      </c>
      <c r="E109" s="3" t="s">
        <v>1776</v>
      </c>
      <c r="F109" s="3" t="s">
        <v>1777</v>
      </c>
      <c r="G109" s="3" t="s">
        <v>1778</v>
      </c>
      <c r="H109" s="3" t="s">
        <v>39</v>
      </c>
      <c r="I109" s="3" t="s">
        <v>1779</v>
      </c>
      <c r="J109" s="3" t="s">
        <v>1780</v>
      </c>
      <c r="K109" s="3" t="s">
        <v>1781</v>
      </c>
      <c r="L109" s="3" t="s">
        <v>1782</v>
      </c>
      <c r="M109" s="3" t="s">
        <v>1783</v>
      </c>
      <c r="N109" s="3" t="s">
        <v>1784</v>
      </c>
      <c r="O109" s="4" t="s">
        <v>1785</v>
      </c>
      <c r="P109" s="4" t="s">
        <v>1786</v>
      </c>
      <c r="Q109" s="3" t="s">
        <v>48</v>
      </c>
      <c r="R109" s="3"/>
      <c r="S109" s="3" t="s">
        <v>48</v>
      </c>
      <c r="T109" s="3"/>
      <c r="U109" s="4" t="s">
        <v>1787</v>
      </c>
      <c r="V109" s="5" t="s">
        <v>1788</v>
      </c>
      <c r="W109" s="5"/>
      <c r="X109" s="5">
        <v>0</v>
      </c>
      <c r="Y109" s="5">
        <v>1</v>
      </c>
      <c r="Z109" s="5">
        <v>5</v>
      </c>
      <c r="AA109" s="5">
        <v>4</v>
      </c>
      <c r="AB109" s="5">
        <v>0</v>
      </c>
      <c r="AC109" s="5">
        <v>5</v>
      </c>
      <c r="AD109" s="5">
        <v>0</v>
      </c>
      <c r="AE109" s="5">
        <f t="shared" si="0"/>
        <v>15</v>
      </c>
      <c r="AF109" s="5" t="s">
        <v>53</v>
      </c>
    </row>
    <row r="110" spans="1:32" ht="15.75" customHeight="1" x14ac:dyDescent="0.2">
      <c r="A110" s="3" t="s">
        <v>1789</v>
      </c>
      <c r="B110" s="3" t="s">
        <v>188</v>
      </c>
      <c r="C110" s="3" t="s">
        <v>1790</v>
      </c>
      <c r="D110" s="3" t="s">
        <v>1791</v>
      </c>
      <c r="E110" s="3" t="s">
        <v>147</v>
      </c>
      <c r="F110" s="3" t="s">
        <v>1792</v>
      </c>
      <c r="G110" s="3" t="s">
        <v>1793</v>
      </c>
      <c r="H110" s="3" t="s">
        <v>39</v>
      </c>
      <c r="I110" s="3" t="s">
        <v>1794</v>
      </c>
      <c r="J110" s="3" t="s">
        <v>1795</v>
      </c>
      <c r="K110" s="3" t="s">
        <v>1796</v>
      </c>
      <c r="L110" s="3" t="s">
        <v>1797</v>
      </c>
      <c r="M110" s="3" t="s">
        <v>1798</v>
      </c>
      <c r="N110" s="3" t="s">
        <v>1799</v>
      </c>
      <c r="O110" s="4" t="s">
        <v>1800</v>
      </c>
      <c r="P110" s="4" t="s">
        <v>1801</v>
      </c>
      <c r="Q110" s="3" t="s">
        <v>49</v>
      </c>
      <c r="R110" s="3"/>
      <c r="S110" s="3" t="s">
        <v>49</v>
      </c>
      <c r="T110" s="3"/>
      <c r="U110" s="4" t="s">
        <v>1802</v>
      </c>
      <c r="V110" s="5" t="s">
        <v>1803</v>
      </c>
      <c r="W110" s="5"/>
      <c r="X110" s="5">
        <v>0</v>
      </c>
      <c r="Y110" s="5">
        <v>4</v>
      </c>
      <c r="Z110" s="5">
        <v>5</v>
      </c>
      <c r="AA110" s="5">
        <v>3</v>
      </c>
      <c r="AB110" s="5">
        <v>0</v>
      </c>
      <c r="AC110" s="5">
        <v>5</v>
      </c>
      <c r="AD110" s="5">
        <v>0</v>
      </c>
      <c r="AE110" s="5">
        <f t="shared" si="0"/>
        <v>17</v>
      </c>
      <c r="AF110" s="5" t="s">
        <v>53</v>
      </c>
    </row>
    <row r="111" spans="1:32" ht="15.75" customHeight="1" x14ac:dyDescent="0.2">
      <c r="A111" s="3" t="s">
        <v>1804</v>
      </c>
      <c r="B111" s="3" t="s">
        <v>239</v>
      </c>
      <c r="C111" s="3" t="s">
        <v>1805</v>
      </c>
      <c r="D111" s="3" t="s">
        <v>1806</v>
      </c>
      <c r="E111" s="3" t="s">
        <v>258</v>
      </c>
      <c r="F111" s="3" t="s">
        <v>1807</v>
      </c>
      <c r="G111" s="3" t="s">
        <v>1808</v>
      </c>
      <c r="H111" s="3" t="s">
        <v>39</v>
      </c>
      <c r="I111" s="3" t="s">
        <v>1809</v>
      </c>
      <c r="J111" s="3" t="s">
        <v>1810</v>
      </c>
      <c r="K111" s="3" t="s">
        <v>1811</v>
      </c>
      <c r="L111" s="3" t="s">
        <v>1812</v>
      </c>
      <c r="M111" s="3" t="s">
        <v>1813</v>
      </c>
      <c r="N111" s="3" t="s">
        <v>1814</v>
      </c>
      <c r="O111" s="4" t="s">
        <v>1815</v>
      </c>
      <c r="P111" s="4" t="s">
        <v>1816</v>
      </c>
      <c r="Q111" s="3" t="s">
        <v>48</v>
      </c>
      <c r="R111" s="3"/>
      <c r="S111" s="3" t="s">
        <v>49</v>
      </c>
      <c r="T111" s="3"/>
      <c r="U111" s="4" t="s">
        <v>1817</v>
      </c>
      <c r="V111" s="5" t="s">
        <v>1818</v>
      </c>
      <c r="W111" s="5"/>
      <c r="X111" s="5">
        <v>0</v>
      </c>
      <c r="Y111" s="5">
        <v>0</v>
      </c>
      <c r="Z111" s="5">
        <v>1</v>
      </c>
      <c r="AA111" s="5">
        <v>1</v>
      </c>
      <c r="AB111" s="5">
        <v>0</v>
      </c>
      <c r="AC111" s="5">
        <v>5</v>
      </c>
      <c r="AD111" s="5">
        <v>0</v>
      </c>
      <c r="AE111" s="5">
        <f t="shared" si="0"/>
        <v>7</v>
      </c>
      <c r="AF111" s="5" t="s">
        <v>53</v>
      </c>
    </row>
    <row r="112" spans="1:32" ht="15.75" customHeight="1" x14ac:dyDescent="0.2">
      <c r="A112" s="3" t="s">
        <v>1819</v>
      </c>
      <c r="B112" s="3" t="s">
        <v>106</v>
      </c>
      <c r="C112" s="3" t="s">
        <v>1820</v>
      </c>
      <c r="D112" s="3" t="s">
        <v>1821</v>
      </c>
      <c r="E112" s="3" t="s">
        <v>1822</v>
      </c>
      <c r="F112" s="3" t="s">
        <v>1823</v>
      </c>
      <c r="G112" s="3" t="s">
        <v>1824</v>
      </c>
      <c r="H112" s="3" t="s">
        <v>94</v>
      </c>
      <c r="I112" s="3" t="s">
        <v>1825</v>
      </c>
      <c r="J112" s="3" t="s">
        <v>1697</v>
      </c>
      <c r="K112" s="3" t="s">
        <v>1826</v>
      </c>
      <c r="L112" s="3" t="s">
        <v>1827</v>
      </c>
      <c r="M112" s="3" t="s">
        <v>1828</v>
      </c>
      <c r="N112" s="3" t="s">
        <v>1829</v>
      </c>
      <c r="O112" s="4" t="s">
        <v>1830</v>
      </c>
      <c r="P112" s="4" t="s">
        <v>1831</v>
      </c>
      <c r="Q112" s="3" t="s">
        <v>48</v>
      </c>
      <c r="R112" s="3" t="s">
        <v>1832</v>
      </c>
      <c r="S112" s="3" t="s">
        <v>49</v>
      </c>
      <c r="T112" s="3"/>
      <c r="U112" s="4" t="s">
        <v>1833</v>
      </c>
      <c r="V112" s="5" t="s">
        <v>1834</v>
      </c>
      <c r="W112" s="5" t="s">
        <v>1834</v>
      </c>
      <c r="X112" s="5">
        <v>0</v>
      </c>
      <c r="Y112" s="5">
        <v>3</v>
      </c>
      <c r="Z112" s="5">
        <v>7</v>
      </c>
      <c r="AA112" s="5">
        <v>4</v>
      </c>
      <c r="AB112" s="5">
        <v>4</v>
      </c>
      <c r="AC112" s="5">
        <v>5</v>
      </c>
      <c r="AD112" s="5">
        <v>5</v>
      </c>
      <c r="AE112" s="5">
        <f t="shared" si="0"/>
        <v>28</v>
      </c>
      <c r="AF112" s="5" t="s">
        <v>53</v>
      </c>
    </row>
    <row r="113" spans="1:32" ht="15.75" customHeight="1" x14ac:dyDescent="0.2">
      <c r="A113" s="3" t="s">
        <v>1835</v>
      </c>
      <c r="B113" s="3" t="s">
        <v>72</v>
      </c>
      <c r="C113" s="3" t="s">
        <v>1836</v>
      </c>
      <c r="D113" s="3" t="s">
        <v>1837</v>
      </c>
      <c r="E113" s="3" t="s">
        <v>1838</v>
      </c>
      <c r="F113" s="3" t="s">
        <v>1839</v>
      </c>
      <c r="G113" s="3" t="s">
        <v>1840</v>
      </c>
      <c r="H113" s="3" t="s">
        <v>94</v>
      </c>
      <c r="I113" s="3" t="s">
        <v>1841</v>
      </c>
      <c r="J113" s="3" t="s">
        <v>1842</v>
      </c>
      <c r="K113" s="3" t="s">
        <v>1843</v>
      </c>
      <c r="L113" s="3" t="s">
        <v>1844</v>
      </c>
      <c r="M113" s="3" t="s">
        <v>1845</v>
      </c>
      <c r="N113" s="3" t="s">
        <v>1846</v>
      </c>
      <c r="O113" s="4" t="s">
        <v>1847</v>
      </c>
      <c r="P113" s="4" t="s">
        <v>1848</v>
      </c>
      <c r="Q113" s="3" t="s">
        <v>48</v>
      </c>
      <c r="R113" s="3"/>
      <c r="S113" s="3" t="s">
        <v>48</v>
      </c>
      <c r="T113" s="3"/>
      <c r="U113" s="4" t="s">
        <v>1849</v>
      </c>
      <c r="V113" s="5" t="s">
        <v>1850</v>
      </c>
      <c r="W113" s="5" t="s">
        <v>1851</v>
      </c>
      <c r="X113" s="5">
        <v>15</v>
      </c>
      <c r="Y113" s="5">
        <v>1</v>
      </c>
      <c r="Z113" s="5">
        <v>7</v>
      </c>
      <c r="AA113" s="5">
        <v>3</v>
      </c>
      <c r="AB113" s="5">
        <v>4</v>
      </c>
      <c r="AC113" s="5">
        <v>5</v>
      </c>
      <c r="AD113" s="5">
        <v>5</v>
      </c>
      <c r="AE113" s="5">
        <f t="shared" si="0"/>
        <v>40</v>
      </c>
      <c r="AF113" s="5" t="s">
        <v>355</v>
      </c>
    </row>
    <row r="114" spans="1:32" ht="15.75" customHeight="1" x14ac:dyDescent="0.2">
      <c r="A114" s="3" t="s">
        <v>1852</v>
      </c>
      <c r="B114" s="3" t="s">
        <v>1853</v>
      </c>
      <c r="C114" s="3" t="s">
        <v>1854</v>
      </c>
      <c r="D114" s="3" t="s">
        <v>574</v>
      </c>
      <c r="E114" s="3" t="s">
        <v>1855</v>
      </c>
      <c r="F114" s="3" t="s">
        <v>1856</v>
      </c>
      <c r="G114" s="3" t="s">
        <v>1857</v>
      </c>
      <c r="H114" s="3" t="s">
        <v>39</v>
      </c>
      <c r="I114" s="3" t="s">
        <v>1858</v>
      </c>
      <c r="J114" s="3" t="s">
        <v>1859</v>
      </c>
      <c r="K114" s="3" t="s">
        <v>1860</v>
      </c>
      <c r="L114" s="3" t="s">
        <v>1861</v>
      </c>
      <c r="M114" s="3" t="s">
        <v>1862</v>
      </c>
      <c r="N114" s="3" t="s">
        <v>1863</v>
      </c>
      <c r="O114" s="4" t="s">
        <v>1864</v>
      </c>
      <c r="P114" s="4" t="s">
        <v>1865</v>
      </c>
      <c r="Q114" s="3" t="s">
        <v>48</v>
      </c>
      <c r="R114" s="3"/>
      <c r="S114" s="3" t="s">
        <v>49</v>
      </c>
      <c r="T114" s="3"/>
      <c r="U114" s="4" t="s">
        <v>1866</v>
      </c>
      <c r="V114" s="5" t="s">
        <v>1867</v>
      </c>
      <c r="W114" s="5" t="s">
        <v>1868</v>
      </c>
      <c r="X114" s="5">
        <v>15</v>
      </c>
      <c r="Y114" s="5">
        <v>0</v>
      </c>
      <c r="Z114" s="5">
        <v>5</v>
      </c>
      <c r="AA114" s="5">
        <v>2</v>
      </c>
      <c r="AB114" s="5">
        <v>2</v>
      </c>
      <c r="AC114" s="5">
        <v>5</v>
      </c>
      <c r="AD114" s="5">
        <v>0</v>
      </c>
      <c r="AE114" s="5">
        <f t="shared" si="0"/>
        <v>29</v>
      </c>
      <c r="AF114" s="5" t="s">
        <v>355</v>
      </c>
    </row>
    <row r="115" spans="1:32" ht="15.75" customHeight="1" x14ac:dyDescent="0.2">
      <c r="A115" s="3" t="s">
        <v>1869</v>
      </c>
      <c r="B115" s="3" t="s">
        <v>188</v>
      </c>
      <c r="C115" s="3" t="s">
        <v>1870</v>
      </c>
      <c r="D115" s="3" t="s">
        <v>1871</v>
      </c>
      <c r="E115" s="3" t="s">
        <v>1872</v>
      </c>
      <c r="F115" s="3" t="s">
        <v>1873</v>
      </c>
      <c r="G115" s="3" t="s">
        <v>1874</v>
      </c>
      <c r="H115" s="3" t="s">
        <v>39</v>
      </c>
      <c r="I115" s="3" t="s">
        <v>1875</v>
      </c>
      <c r="J115" s="3" t="s">
        <v>1876</v>
      </c>
      <c r="K115" s="3" t="s">
        <v>1877</v>
      </c>
      <c r="L115" s="3" t="s">
        <v>1878</v>
      </c>
      <c r="M115" s="3" t="s">
        <v>1879</v>
      </c>
      <c r="N115" s="3" t="s">
        <v>1880</v>
      </c>
      <c r="O115" s="4" t="s">
        <v>1881</v>
      </c>
      <c r="P115" s="4" t="s">
        <v>1882</v>
      </c>
      <c r="Q115" s="3" t="s">
        <v>48</v>
      </c>
      <c r="R115" s="3"/>
      <c r="S115" s="3" t="s">
        <v>49</v>
      </c>
      <c r="T115" s="3"/>
      <c r="U115" s="4" t="s">
        <v>1883</v>
      </c>
      <c r="V115" s="5" t="s">
        <v>1884</v>
      </c>
      <c r="W115" s="5" t="s">
        <v>1884</v>
      </c>
      <c r="X115" s="5">
        <v>10</v>
      </c>
      <c r="Y115" s="5">
        <v>0</v>
      </c>
      <c r="Z115" s="5">
        <v>5</v>
      </c>
      <c r="AA115" s="5">
        <v>3</v>
      </c>
      <c r="AB115" s="5">
        <v>0</v>
      </c>
      <c r="AC115" s="5">
        <v>5</v>
      </c>
      <c r="AD115" s="5">
        <v>0</v>
      </c>
      <c r="AE115" s="5">
        <f t="shared" si="0"/>
        <v>23</v>
      </c>
      <c r="AF115" s="5" t="s">
        <v>53</v>
      </c>
    </row>
    <row r="116" spans="1:32" ht="15.75" customHeight="1" x14ac:dyDescent="0.2">
      <c r="A116" s="3" t="s">
        <v>1885</v>
      </c>
      <c r="B116" s="3" t="s">
        <v>55</v>
      </c>
      <c r="C116" s="3" t="s">
        <v>1886</v>
      </c>
      <c r="D116" s="3" t="s">
        <v>1887</v>
      </c>
      <c r="E116" s="3" t="s">
        <v>1888</v>
      </c>
      <c r="F116" s="3" t="s">
        <v>1889</v>
      </c>
      <c r="G116" s="3" t="s">
        <v>1890</v>
      </c>
      <c r="H116" s="3" t="s">
        <v>39</v>
      </c>
      <c r="I116" s="3" t="s">
        <v>1891</v>
      </c>
      <c r="J116" s="3" t="s">
        <v>1892</v>
      </c>
      <c r="K116" s="3" t="s">
        <v>1893</v>
      </c>
      <c r="L116" s="3" t="s">
        <v>1894</v>
      </c>
      <c r="M116" s="3" t="s">
        <v>1895</v>
      </c>
      <c r="N116" s="3" t="s">
        <v>1896</v>
      </c>
      <c r="O116" s="4" t="s">
        <v>1897</v>
      </c>
      <c r="P116" s="4" t="s">
        <v>1898</v>
      </c>
      <c r="Q116" s="3" t="s">
        <v>48</v>
      </c>
      <c r="R116" s="3"/>
      <c r="S116" s="3" t="s">
        <v>49</v>
      </c>
      <c r="T116" s="3"/>
      <c r="U116" s="4" t="s">
        <v>1899</v>
      </c>
      <c r="V116" s="5" t="s">
        <v>1900</v>
      </c>
      <c r="W116" s="5" t="s">
        <v>1900</v>
      </c>
      <c r="X116" s="5">
        <v>10</v>
      </c>
      <c r="Y116" s="5">
        <v>0</v>
      </c>
      <c r="Z116" s="5">
        <v>8</v>
      </c>
      <c r="AA116" s="5">
        <v>3</v>
      </c>
      <c r="AB116" s="5">
        <v>4</v>
      </c>
      <c r="AC116" s="5">
        <v>0</v>
      </c>
      <c r="AD116" s="5">
        <v>0</v>
      </c>
      <c r="AE116" s="5">
        <f t="shared" si="0"/>
        <v>25</v>
      </c>
      <c r="AF116" s="5" t="s">
        <v>53</v>
      </c>
    </row>
    <row r="117" spans="1:32" ht="15.75" customHeight="1" x14ac:dyDescent="0.2">
      <c r="A117" s="3" t="s">
        <v>1901</v>
      </c>
      <c r="B117" s="3" t="s">
        <v>72</v>
      </c>
      <c r="C117" s="3" t="s">
        <v>1902</v>
      </c>
      <c r="D117" s="3" t="s">
        <v>1903</v>
      </c>
      <c r="E117" s="3" t="s">
        <v>1904</v>
      </c>
      <c r="F117" s="3" t="s">
        <v>1905</v>
      </c>
      <c r="G117" s="3" t="s">
        <v>1906</v>
      </c>
      <c r="H117" s="3" t="s">
        <v>39</v>
      </c>
      <c r="I117" s="3" t="s">
        <v>1907</v>
      </c>
      <c r="J117" s="3" t="s">
        <v>1908</v>
      </c>
      <c r="K117" s="3" t="s">
        <v>1909</v>
      </c>
      <c r="L117" s="3" t="s">
        <v>1910</v>
      </c>
      <c r="M117" s="3" t="s">
        <v>1911</v>
      </c>
      <c r="N117" s="3" t="s">
        <v>1912</v>
      </c>
      <c r="O117" s="4" t="s">
        <v>1913</v>
      </c>
      <c r="P117" s="4" t="s">
        <v>1914</v>
      </c>
      <c r="Q117" s="3" t="s">
        <v>49</v>
      </c>
      <c r="R117" s="3"/>
      <c r="S117" s="3" t="s">
        <v>49</v>
      </c>
      <c r="T117" s="3"/>
      <c r="U117" s="4" t="s">
        <v>1915</v>
      </c>
      <c r="V117" s="5" t="s">
        <v>1916</v>
      </c>
      <c r="W117" s="5"/>
      <c r="X117" s="5">
        <v>0</v>
      </c>
      <c r="Y117" s="5">
        <v>1</v>
      </c>
      <c r="Z117" s="5">
        <v>5</v>
      </c>
      <c r="AA117" s="5">
        <v>3</v>
      </c>
      <c r="AB117" s="5">
        <v>0</v>
      </c>
      <c r="AC117" s="5">
        <v>5</v>
      </c>
      <c r="AD117" s="5">
        <v>0</v>
      </c>
      <c r="AE117" s="5">
        <f t="shared" si="0"/>
        <v>14</v>
      </c>
      <c r="AF117" s="5" t="s">
        <v>53</v>
      </c>
    </row>
    <row r="118" spans="1:32" ht="15.75" customHeight="1" x14ac:dyDescent="0.2">
      <c r="A118" s="3" t="s">
        <v>1917</v>
      </c>
      <c r="B118" s="3" t="s">
        <v>72</v>
      </c>
      <c r="C118" s="3" t="s">
        <v>1918</v>
      </c>
      <c r="D118" s="3" t="s">
        <v>1919</v>
      </c>
      <c r="E118" s="3" t="s">
        <v>1920</v>
      </c>
      <c r="F118" s="3" t="s">
        <v>1921</v>
      </c>
      <c r="G118" s="3" t="s">
        <v>1922</v>
      </c>
      <c r="H118" s="3" t="s">
        <v>39</v>
      </c>
      <c r="I118" s="3" t="s">
        <v>1923</v>
      </c>
      <c r="J118" s="3" t="s">
        <v>1924</v>
      </c>
      <c r="K118" s="3" t="s">
        <v>1925</v>
      </c>
      <c r="L118" s="3" t="s">
        <v>1926</v>
      </c>
      <c r="M118" s="3" t="s">
        <v>1927</v>
      </c>
      <c r="N118" s="3" t="s">
        <v>1928</v>
      </c>
      <c r="O118" s="4" t="s">
        <v>1929</v>
      </c>
      <c r="P118" s="4" t="s">
        <v>1930</v>
      </c>
      <c r="Q118" s="3" t="s">
        <v>48</v>
      </c>
      <c r="R118" s="3"/>
      <c r="S118" s="3" t="s">
        <v>48</v>
      </c>
      <c r="T118" s="3"/>
      <c r="U118" s="4" t="s">
        <v>1931</v>
      </c>
      <c r="V118" s="5" t="s">
        <v>1932</v>
      </c>
      <c r="W118" s="5"/>
      <c r="X118" s="5">
        <v>0</v>
      </c>
      <c r="Y118" s="5">
        <v>1</v>
      </c>
      <c r="Z118" s="5">
        <v>1</v>
      </c>
      <c r="AA118" s="5">
        <v>1</v>
      </c>
      <c r="AB118" s="5">
        <v>0</v>
      </c>
      <c r="AC118" s="5">
        <v>5</v>
      </c>
      <c r="AD118" s="5">
        <v>0</v>
      </c>
      <c r="AE118" s="5">
        <f t="shared" si="0"/>
        <v>8</v>
      </c>
      <c r="AF118" s="5" t="s">
        <v>53</v>
      </c>
    </row>
    <row r="119" spans="1:32" ht="15.75" customHeight="1" x14ac:dyDescent="0.2">
      <c r="A119" s="3" t="s">
        <v>1933</v>
      </c>
      <c r="B119" s="3" t="s">
        <v>72</v>
      </c>
      <c r="C119" s="3" t="s">
        <v>1934</v>
      </c>
      <c r="D119" s="3" t="s">
        <v>1935</v>
      </c>
      <c r="E119" s="3" t="s">
        <v>1936</v>
      </c>
      <c r="F119" s="3" t="s">
        <v>1937</v>
      </c>
      <c r="G119" s="3" t="s">
        <v>1938</v>
      </c>
      <c r="H119" s="3" t="s">
        <v>39</v>
      </c>
      <c r="I119" s="3" t="s">
        <v>1939</v>
      </c>
      <c r="J119" s="3" t="s">
        <v>1940</v>
      </c>
      <c r="K119" s="3" t="s">
        <v>1941</v>
      </c>
      <c r="L119" s="3" t="s">
        <v>1942</v>
      </c>
      <c r="M119" s="3" t="s">
        <v>1943</v>
      </c>
      <c r="N119" s="3" t="s">
        <v>1944</v>
      </c>
      <c r="O119" s="4" t="s">
        <v>1945</v>
      </c>
      <c r="P119" s="4" t="s">
        <v>1946</v>
      </c>
      <c r="Q119" s="3" t="s">
        <v>48</v>
      </c>
      <c r="R119" s="3"/>
      <c r="S119" s="3" t="s">
        <v>49</v>
      </c>
      <c r="T119" s="3"/>
      <c r="U119" s="4" t="s">
        <v>1947</v>
      </c>
      <c r="V119" s="5" t="s">
        <v>1948</v>
      </c>
      <c r="W119" s="5" t="s">
        <v>1948</v>
      </c>
      <c r="X119" s="5">
        <v>10</v>
      </c>
      <c r="Y119" s="5">
        <v>2</v>
      </c>
      <c r="Z119" s="5">
        <v>6</v>
      </c>
      <c r="AA119" s="5">
        <v>3</v>
      </c>
      <c r="AB119" s="5">
        <v>2</v>
      </c>
      <c r="AC119" s="5">
        <v>5</v>
      </c>
      <c r="AD119" s="5">
        <v>0</v>
      </c>
      <c r="AE119" s="5">
        <f t="shared" si="0"/>
        <v>28</v>
      </c>
      <c r="AF119" s="5" t="s">
        <v>53</v>
      </c>
    </row>
    <row r="120" spans="1:32" ht="15.75" customHeight="1" x14ac:dyDescent="0.2">
      <c r="A120" s="3" t="s">
        <v>1949</v>
      </c>
      <c r="B120" s="3" t="s">
        <v>239</v>
      </c>
      <c r="C120" s="3" t="s">
        <v>1950</v>
      </c>
      <c r="D120" s="3" t="s">
        <v>1951</v>
      </c>
      <c r="E120" s="3" t="s">
        <v>1952</v>
      </c>
      <c r="F120" s="3" t="s">
        <v>1953</v>
      </c>
      <c r="G120" s="3" t="s">
        <v>1954</v>
      </c>
      <c r="H120" s="3" t="s">
        <v>94</v>
      </c>
      <c r="I120" s="3" t="s">
        <v>1955</v>
      </c>
      <c r="J120" s="3" t="s">
        <v>1956</v>
      </c>
      <c r="K120" s="3" t="s">
        <v>1957</v>
      </c>
      <c r="L120" s="3" t="s">
        <v>1958</v>
      </c>
      <c r="M120" s="3" t="s">
        <v>1959</v>
      </c>
      <c r="N120" s="3" t="s">
        <v>1960</v>
      </c>
      <c r="O120" s="4" t="s">
        <v>1961</v>
      </c>
      <c r="P120" s="4" t="s">
        <v>1962</v>
      </c>
      <c r="Q120" s="3" t="s">
        <v>48</v>
      </c>
      <c r="R120" s="3"/>
      <c r="S120" s="3" t="s">
        <v>49</v>
      </c>
      <c r="T120" s="3"/>
      <c r="U120" s="4" t="s">
        <v>1963</v>
      </c>
      <c r="V120" s="5" t="s">
        <v>1964</v>
      </c>
      <c r="W120" s="5"/>
      <c r="X120" s="5"/>
      <c r="Y120" s="5"/>
      <c r="Z120" s="5"/>
      <c r="AA120" s="5"/>
      <c r="AB120" s="5"/>
      <c r="AC120" s="5"/>
      <c r="AD120" s="5"/>
      <c r="AE120" s="5">
        <f t="shared" si="0"/>
        <v>0</v>
      </c>
      <c r="AF120" s="5"/>
    </row>
    <row r="121" spans="1:32" ht="15.75" customHeight="1" x14ac:dyDescent="0.2">
      <c r="A121" s="3" t="s">
        <v>1965</v>
      </c>
      <c r="B121" s="3" t="s">
        <v>106</v>
      </c>
      <c r="C121" s="3" t="s">
        <v>1966</v>
      </c>
      <c r="D121" s="3" t="s">
        <v>1967</v>
      </c>
      <c r="E121" s="3" t="s">
        <v>1968</v>
      </c>
      <c r="F121" s="3" t="s">
        <v>1969</v>
      </c>
      <c r="G121" s="3" t="s">
        <v>1970</v>
      </c>
      <c r="H121" s="3" t="s">
        <v>39</v>
      </c>
      <c r="I121" s="3" t="s">
        <v>1971</v>
      </c>
      <c r="J121" s="3" t="s">
        <v>1972</v>
      </c>
      <c r="K121" s="3" t="s">
        <v>1973</v>
      </c>
      <c r="L121" s="3" t="s">
        <v>1974</v>
      </c>
      <c r="M121" s="3" t="s">
        <v>1975</v>
      </c>
      <c r="N121" s="3" t="s">
        <v>1976</v>
      </c>
      <c r="O121" s="4" t="s">
        <v>1977</v>
      </c>
      <c r="P121" s="4" t="s">
        <v>1978</v>
      </c>
      <c r="Q121" s="3" t="s">
        <v>49</v>
      </c>
      <c r="R121" s="3" t="s">
        <v>49</v>
      </c>
      <c r="S121" s="3" t="s">
        <v>49</v>
      </c>
      <c r="T121" s="3" t="s">
        <v>49</v>
      </c>
      <c r="U121" s="4" t="s">
        <v>1979</v>
      </c>
      <c r="V121" s="5" t="s">
        <v>1980</v>
      </c>
      <c r="W121" s="5" t="s">
        <v>1980</v>
      </c>
      <c r="X121" s="5">
        <v>0</v>
      </c>
      <c r="Y121" s="5">
        <v>0</v>
      </c>
      <c r="Z121" s="5">
        <v>6</v>
      </c>
      <c r="AA121" s="5">
        <v>3</v>
      </c>
      <c r="AB121" s="5">
        <v>2</v>
      </c>
      <c r="AC121" s="5">
        <v>5</v>
      </c>
      <c r="AD121" s="5">
        <v>0</v>
      </c>
      <c r="AE121" s="5">
        <f t="shared" si="0"/>
        <v>16</v>
      </c>
      <c r="AF121" s="5" t="s">
        <v>53</v>
      </c>
    </row>
    <row r="122" spans="1:32"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spans="1:32"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spans="1:32"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spans="1:32"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spans="1:32"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spans="1:32"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spans="1:32"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spans="1:32"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spans="1:32"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spans="1:32"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1:32"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1:32"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spans="1:32"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spans="1:32"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spans="1:32"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spans="1:32"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spans="1:32"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spans="1:32"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spans="1:32"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spans="1:32"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spans="1:32"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spans="1:32"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spans="1:32"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spans="1:32"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spans="1:32"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spans="1:32"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spans="1:32"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spans="1:32"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spans="1:32"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spans="1:32"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spans="1:32"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spans="1:32"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1:32"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spans="1:32"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spans="1:32"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spans="1:32"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spans="1:32"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spans="1:32"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spans="1:32"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spans="1:32"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spans="1:32"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spans="1:32"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spans="1:32"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spans="1:32"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spans="1:32"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spans="1:32"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spans="1:32"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spans="1:32"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spans="1:32"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spans="1:32"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spans="1:32"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spans="1:32"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1:32"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spans="1:32"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spans="1:32"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spans="1:32"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spans="1:32"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spans="1:32"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spans="1:32"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spans="1:32"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spans="1:32"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spans="1:32"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spans="1:32"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spans="1:32"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spans="1:32"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spans="1:32"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spans="1:32"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spans="1:32"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spans="1:32"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spans="1:32"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spans="1:32"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spans="1:32"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1:32"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1:32"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spans="1:32"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spans="1:32"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spans="1:32"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spans="1:32"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spans="1:32"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spans="1:32"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spans="1:32"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spans="1:32"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spans="1:32"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spans="1:32"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spans="1:32"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spans="1:32"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spans="1:32"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spans="1:32"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spans="1:32"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spans="1:32"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spans="1:32"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hyperlinks>
    <hyperlink ref="O2" r:id="rId1" xr:uid="{00000000-0004-0000-0000-000000000000}"/>
    <hyperlink ref="P2" r:id="rId2" xr:uid="{00000000-0004-0000-0000-000001000000}"/>
    <hyperlink ref="U2" r:id="rId3" xr:uid="{00000000-0004-0000-0000-000002000000}"/>
    <hyperlink ref="O3" r:id="rId4" xr:uid="{00000000-0004-0000-0000-000003000000}"/>
    <hyperlink ref="P3" r:id="rId5" xr:uid="{00000000-0004-0000-0000-000004000000}"/>
    <hyperlink ref="U3" r:id="rId6" xr:uid="{00000000-0004-0000-0000-000005000000}"/>
    <hyperlink ref="O4" r:id="rId7" xr:uid="{00000000-0004-0000-0000-000006000000}"/>
    <hyperlink ref="P4" r:id="rId8" xr:uid="{00000000-0004-0000-0000-000007000000}"/>
    <hyperlink ref="U4" r:id="rId9" xr:uid="{00000000-0004-0000-0000-000008000000}"/>
    <hyperlink ref="O5" r:id="rId10" xr:uid="{00000000-0004-0000-0000-000009000000}"/>
    <hyperlink ref="P5" r:id="rId11" xr:uid="{00000000-0004-0000-0000-00000A000000}"/>
    <hyperlink ref="U5" r:id="rId12" xr:uid="{00000000-0004-0000-0000-00000B000000}"/>
    <hyperlink ref="O6" r:id="rId13" xr:uid="{00000000-0004-0000-0000-00000C000000}"/>
    <hyperlink ref="P6" r:id="rId14" xr:uid="{00000000-0004-0000-0000-00000D000000}"/>
    <hyperlink ref="U6" r:id="rId15" xr:uid="{00000000-0004-0000-0000-00000E000000}"/>
    <hyperlink ref="O7" r:id="rId16" xr:uid="{00000000-0004-0000-0000-00000F000000}"/>
    <hyperlink ref="P7" r:id="rId17" xr:uid="{00000000-0004-0000-0000-000010000000}"/>
    <hyperlink ref="U7" r:id="rId18" xr:uid="{00000000-0004-0000-0000-000011000000}"/>
    <hyperlink ref="O8" r:id="rId19" xr:uid="{00000000-0004-0000-0000-000012000000}"/>
    <hyperlink ref="P8" r:id="rId20" xr:uid="{00000000-0004-0000-0000-000013000000}"/>
    <hyperlink ref="U8" r:id="rId21" xr:uid="{00000000-0004-0000-0000-000014000000}"/>
    <hyperlink ref="O9" r:id="rId22" xr:uid="{00000000-0004-0000-0000-000015000000}"/>
    <hyperlink ref="P9" r:id="rId23" xr:uid="{00000000-0004-0000-0000-000016000000}"/>
    <hyperlink ref="U9" r:id="rId24" xr:uid="{00000000-0004-0000-0000-000017000000}"/>
    <hyperlink ref="O10" r:id="rId25" xr:uid="{00000000-0004-0000-0000-000018000000}"/>
    <hyperlink ref="P10" r:id="rId26" xr:uid="{00000000-0004-0000-0000-000019000000}"/>
    <hyperlink ref="U10" r:id="rId27" xr:uid="{00000000-0004-0000-0000-00001A000000}"/>
    <hyperlink ref="O11" r:id="rId28" xr:uid="{00000000-0004-0000-0000-00001B000000}"/>
    <hyperlink ref="P11" r:id="rId29" xr:uid="{00000000-0004-0000-0000-00001C000000}"/>
    <hyperlink ref="U11" r:id="rId30" xr:uid="{00000000-0004-0000-0000-00001D000000}"/>
    <hyperlink ref="O12" r:id="rId31" xr:uid="{00000000-0004-0000-0000-00001E000000}"/>
    <hyperlink ref="P12" r:id="rId32" xr:uid="{00000000-0004-0000-0000-00001F000000}"/>
    <hyperlink ref="U12" r:id="rId33" xr:uid="{00000000-0004-0000-0000-000020000000}"/>
    <hyperlink ref="O13" r:id="rId34" xr:uid="{00000000-0004-0000-0000-000021000000}"/>
    <hyperlink ref="P13" r:id="rId35" xr:uid="{00000000-0004-0000-0000-000022000000}"/>
    <hyperlink ref="U13" r:id="rId36" xr:uid="{00000000-0004-0000-0000-000023000000}"/>
    <hyperlink ref="O14" r:id="rId37" xr:uid="{00000000-0004-0000-0000-000024000000}"/>
    <hyperlink ref="P14" r:id="rId38" xr:uid="{00000000-0004-0000-0000-000025000000}"/>
    <hyperlink ref="U14" r:id="rId39" xr:uid="{00000000-0004-0000-0000-000026000000}"/>
    <hyperlink ref="O15" r:id="rId40" xr:uid="{00000000-0004-0000-0000-000027000000}"/>
    <hyperlink ref="P15" r:id="rId41" xr:uid="{00000000-0004-0000-0000-000028000000}"/>
    <hyperlink ref="U15" r:id="rId42" xr:uid="{00000000-0004-0000-0000-000029000000}"/>
    <hyperlink ref="O16" r:id="rId43" xr:uid="{00000000-0004-0000-0000-00002A000000}"/>
    <hyperlink ref="P16" r:id="rId44" xr:uid="{00000000-0004-0000-0000-00002B000000}"/>
    <hyperlink ref="U16" r:id="rId45" xr:uid="{00000000-0004-0000-0000-00002C000000}"/>
    <hyperlink ref="O17" r:id="rId46" xr:uid="{00000000-0004-0000-0000-00002D000000}"/>
    <hyperlink ref="P17" r:id="rId47" xr:uid="{00000000-0004-0000-0000-00002E000000}"/>
    <hyperlink ref="U17" r:id="rId48" xr:uid="{00000000-0004-0000-0000-00002F000000}"/>
    <hyperlink ref="O18" r:id="rId49" xr:uid="{00000000-0004-0000-0000-000030000000}"/>
    <hyperlink ref="P18" r:id="rId50" xr:uid="{00000000-0004-0000-0000-000031000000}"/>
    <hyperlink ref="U18" r:id="rId51" xr:uid="{00000000-0004-0000-0000-000032000000}"/>
    <hyperlink ref="O19" r:id="rId52" xr:uid="{00000000-0004-0000-0000-000033000000}"/>
    <hyperlink ref="P19" r:id="rId53" xr:uid="{00000000-0004-0000-0000-000034000000}"/>
    <hyperlink ref="U19" r:id="rId54" xr:uid="{00000000-0004-0000-0000-000035000000}"/>
    <hyperlink ref="O20" r:id="rId55" xr:uid="{00000000-0004-0000-0000-000036000000}"/>
    <hyperlink ref="P20" r:id="rId56" xr:uid="{00000000-0004-0000-0000-000037000000}"/>
    <hyperlink ref="U20" r:id="rId57" xr:uid="{00000000-0004-0000-0000-000038000000}"/>
    <hyperlink ref="O21" r:id="rId58" xr:uid="{00000000-0004-0000-0000-000039000000}"/>
    <hyperlink ref="P21" r:id="rId59" xr:uid="{00000000-0004-0000-0000-00003A000000}"/>
    <hyperlink ref="U21" r:id="rId60" xr:uid="{00000000-0004-0000-0000-00003B000000}"/>
    <hyperlink ref="O22" r:id="rId61" xr:uid="{00000000-0004-0000-0000-00003C000000}"/>
    <hyperlink ref="P22" r:id="rId62" xr:uid="{00000000-0004-0000-0000-00003D000000}"/>
    <hyperlink ref="U22" r:id="rId63" xr:uid="{00000000-0004-0000-0000-00003E000000}"/>
    <hyperlink ref="O23" r:id="rId64" xr:uid="{00000000-0004-0000-0000-00003F000000}"/>
    <hyperlink ref="P23" r:id="rId65" xr:uid="{00000000-0004-0000-0000-000040000000}"/>
    <hyperlink ref="U23" r:id="rId66" xr:uid="{00000000-0004-0000-0000-000041000000}"/>
    <hyperlink ref="O24" r:id="rId67" xr:uid="{00000000-0004-0000-0000-000042000000}"/>
    <hyperlink ref="P24" r:id="rId68" xr:uid="{00000000-0004-0000-0000-000043000000}"/>
    <hyperlink ref="U24" r:id="rId69" xr:uid="{00000000-0004-0000-0000-000044000000}"/>
    <hyperlink ref="O25" r:id="rId70" xr:uid="{00000000-0004-0000-0000-000045000000}"/>
    <hyperlink ref="P25" r:id="rId71" xr:uid="{00000000-0004-0000-0000-000046000000}"/>
    <hyperlink ref="U25" r:id="rId72" xr:uid="{00000000-0004-0000-0000-000047000000}"/>
    <hyperlink ref="O26" r:id="rId73" xr:uid="{00000000-0004-0000-0000-000048000000}"/>
    <hyperlink ref="P26" r:id="rId74" xr:uid="{00000000-0004-0000-0000-000049000000}"/>
    <hyperlink ref="U26" r:id="rId75" xr:uid="{00000000-0004-0000-0000-00004A000000}"/>
    <hyperlink ref="O27" r:id="rId76" xr:uid="{00000000-0004-0000-0000-00004B000000}"/>
    <hyperlink ref="P27" r:id="rId77" xr:uid="{00000000-0004-0000-0000-00004C000000}"/>
    <hyperlink ref="U27" r:id="rId78" xr:uid="{00000000-0004-0000-0000-00004D000000}"/>
    <hyperlink ref="O28" r:id="rId79" xr:uid="{00000000-0004-0000-0000-00004E000000}"/>
    <hyperlink ref="P28" r:id="rId80" xr:uid="{00000000-0004-0000-0000-00004F000000}"/>
    <hyperlink ref="U28" r:id="rId81" xr:uid="{00000000-0004-0000-0000-000050000000}"/>
    <hyperlink ref="O29" r:id="rId82" xr:uid="{00000000-0004-0000-0000-000051000000}"/>
    <hyperlink ref="P29" r:id="rId83" xr:uid="{00000000-0004-0000-0000-000052000000}"/>
    <hyperlink ref="U29" r:id="rId84" xr:uid="{00000000-0004-0000-0000-000053000000}"/>
    <hyperlink ref="O30" r:id="rId85" xr:uid="{00000000-0004-0000-0000-000054000000}"/>
    <hyperlink ref="P30" r:id="rId86" xr:uid="{00000000-0004-0000-0000-000055000000}"/>
    <hyperlink ref="U30" r:id="rId87" xr:uid="{00000000-0004-0000-0000-000056000000}"/>
    <hyperlink ref="O31" r:id="rId88" xr:uid="{00000000-0004-0000-0000-000057000000}"/>
    <hyperlink ref="P31" r:id="rId89" xr:uid="{00000000-0004-0000-0000-000058000000}"/>
    <hyperlink ref="U31" r:id="rId90" xr:uid="{00000000-0004-0000-0000-000059000000}"/>
    <hyperlink ref="O32" r:id="rId91" xr:uid="{00000000-0004-0000-0000-00005A000000}"/>
    <hyperlink ref="P32" r:id="rId92" xr:uid="{00000000-0004-0000-0000-00005B000000}"/>
    <hyperlink ref="U32" r:id="rId93" xr:uid="{00000000-0004-0000-0000-00005C000000}"/>
    <hyperlink ref="O33" r:id="rId94" xr:uid="{00000000-0004-0000-0000-00005D000000}"/>
    <hyperlink ref="P33" r:id="rId95" xr:uid="{00000000-0004-0000-0000-00005E000000}"/>
    <hyperlink ref="U33" r:id="rId96" xr:uid="{00000000-0004-0000-0000-00005F000000}"/>
    <hyperlink ref="O34" r:id="rId97" xr:uid="{00000000-0004-0000-0000-000060000000}"/>
    <hyperlink ref="P34" r:id="rId98" xr:uid="{00000000-0004-0000-0000-000061000000}"/>
    <hyperlink ref="U34" r:id="rId99" xr:uid="{00000000-0004-0000-0000-000062000000}"/>
    <hyperlink ref="O35" r:id="rId100" xr:uid="{00000000-0004-0000-0000-000063000000}"/>
    <hyperlink ref="P35" r:id="rId101" xr:uid="{00000000-0004-0000-0000-000064000000}"/>
    <hyperlink ref="U35" r:id="rId102" xr:uid="{00000000-0004-0000-0000-000065000000}"/>
    <hyperlink ref="O36" r:id="rId103" xr:uid="{00000000-0004-0000-0000-000066000000}"/>
    <hyperlink ref="P36" r:id="rId104" xr:uid="{00000000-0004-0000-0000-000067000000}"/>
    <hyperlink ref="U36" r:id="rId105" xr:uid="{00000000-0004-0000-0000-000068000000}"/>
    <hyperlink ref="O37" r:id="rId106" xr:uid="{00000000-0004-0000-0000-000069000000}"/>
    <hyperlink ref="P37" r:id="rId107" xr:uid="{00000000-0004-0000-0000-00006A000000}"/>
    <hyperlink ref="U37" r:id="rId108" xr:uid="{00000000-0004-0000-0000-00006B000000}"/>
    <hyperlink ref="O38" r:id="rId109" xr:uid="{00000000-0004-0000-0000-00006C000000}"/>
    <hyperlink ref="P38" r:id="rId110" xr:uid="{00000000-0004-0000-0000-00006D000000}"/>
    <hyperlink ref="U38" r:id="rId111" xr:uid="{00000000-0004-0000-0000-00006E000000}"/>
    <hyperlink ref="O39" r:id="rId112" xr:uid="{00000000-0004-0000-0000-00006F000000}"/>
    <hyperlink ref="P39" r:id="rId113" xr:uid="{00000000-0004-0000-0000-000070000000}"/>
    <hyperlink ref="U39" r:id="rId114" xr:uid="{00000000-0004-0000-0000-000071000000}"/>
    <hyperlink ref="O40" r:id="rId115" xr:uid="{00000000-0004-0000-0000-000072000000}"/>
    <hyperlink ref="P40" r:id="rId116" xr:uid="{00000000-0004-0000-0000-000073000000}"/>
    <hyperlink ref="U40" r:id="rId117" xr:uid="{00000000-0004-0000-0000-000074000000}"/>
    <hyperlink ref="O41" r:id="rId118" xr:uid="{00000000-0004-0000-0000-000075000000}"/>
    <hyperlink ref="P41" r:id="rId119" xr:uid="{00000000-0004-0000-0000-000076000000}"/>
    <hyperlink ref="U41" r:id="rId120" xr:uid="{00000000-0004-0000-0000-000077000000}"/>
    <hyperlink ref="O42" r:id="rId121" xr:uid="{00000000-0004-0000-0000-000078000000}"/>
    <hyperlink ref="P42" r:id="rId122" xr:uid="{00000000-0004-0000-0000-000079000000}"/>
    <hyperlink ref="U42" r:id="rId123" xr:uid="{00000000-0004-0000-0000-00007A000000}"/>
    <hyperlink ref="O43" r:id="rId124" xr:uid="{00000000-0004-0000-0000-00007B000000}"/>
    <hyperlink ref="P43" r:id="rId125" xr:uid="{00000000-0004-0000-0000-00007C000000}"/>
    <hyperlink ref="U43" r:id="rId126" xr:uid="{00000000-0004-0000-0000-00007D000000}"/>
    <hyperlink ref="O44" r:id="rId127" xr:uid="{00000000-0004-0000-0000-00007E000000}"/>
    <hyperlink ref="P44" r:id="rId128" xr:uid="{00000000-0004-0000-0000-00007F000000}"/>
    <hyperlink ref="U44" r:id="rId129" xr:uid="{00000000-0004-0000-0000-000080000000}"/>
    <hyperlink ref="O45" r:id="rId130" xr:uid="{00000000-0004-0000-0000-000081000000}"/>
    <hyperlink ref="P45" r:id="rId131" xr:uid="{00000000-0004-0000-0000-000082000000}"/>
    <hyperlink ref="U45" r:id="rId132" xr:uid="{00000000-0004-0000-0000-000083000000}"/>
    <hyperlink ref="O46" r:id="rId133" xr:uid="{00000000-0004-0000-0000-000084000000}"/>
    <hyperlink ref="P46" r:id="rId134" xr:uid="{00000000-0004-0000-0000-000085000000}"/>
    <hyperlink ref="U46" r:id="rId135" xr:uid="{00000000-0004-0000-0000-000086000000}"/>
    <hyperlink ref="O47" r:id="rId136" xr:uid="{00000000-0004-0000-0000-000087000000}"/>
    <hyperlink ref="P47" r:id="rId137" xr:uid="{00000000-0004-0000-0000-000088000000}"/>
    <hyperlink ref="U47" r:id="rId138" xr:uid="{00000000-0004-0000-0000-000089000000}"/>
    <hyperlink ref="O48" r:id="rId139" xr:uid="{00000000-0004-0000-0000-00008A000000}"/>
    <hyperlink ref="P48" r:id="rId140" xr:uid="{00000000-0004-0000-0000-00008B000000}"/>
    <hyperlink ref="U48" r:id="rId141" xr:uid="{00000000-0004-0000-0000-00008C000000}"/>
    <hyperlink ref="O49" r:id="rId142" xr:uid="{00000000-0004-0000-0000-00008D000000}"/>
    <hyperlink ref="P49" r:id="rId143" xr:uid="{00000000-0004-0000-0000-00008E000000}"/>
    <hyperlink ref="U49" r:id="rId144" xr:uid="{00000000-0004-0000-0000-00008F000000}"/>
    <hyperlink ref="O50" r:id="rId145" xr:uid="{00000000-0004-0000-0000-000090000000}"/>
    <hyperlink ref="P50" r:id="rId146" xr:uid="{00000000-0004-0000-0000-000091000000}"/>
    <hyperlink ref="U50" r:id="rId147" xr:uid="{00000000-0004-0000-0000-000092000000}"/>
    <hyperlink ref="O51" r:id="rId148" xr:uid="{00000000-0004-0000-0000-000093000000}"/>
    <hyperlink ref="P51" r:id="rId149" xr:uid="{00000000-0004-0000-0000-000094000000}"/>
    <hyperlink ref="U51" r:id="rId150" xr:uid="{00000000-0004-0000-0000-000095000000}"/>
    <hyperlink ref="O52" r:id="rId151" xr:uid="{00000000-0004-0000-0000-000096000000}"/>
    <hyperlink ref="P52" r:id="rId152" xr:uid="{00000000-0004-0000-0000-000097000000}"/>
    <hyperlink ref="U52" r:id="rId153" xr:uid="{00000000-0004-0000-0000-000098000000}"/>
    <hyperlink ref="O53" r:id="rId154" xr:uid="{00000000-0004-0000-0000-000099000000}"/>
    <hyperlink ref="P53" r:id="rId155" xr:uid="{00000000-0004-0000-0000-00009A000000}"/>
    <hyperlink ref="U53" r:id="rId156" xr:uid="{00000000-0004-0000-0000-00009B000000}"/>
    <hyperlink ref="O54" r:id="rId157" xr:uid="{00000000-0004-0000-0000-00009C000000}"/>
    <hyperlink ref="P54" r:id="rId158" xr:uid="{00000000-0004-0000-0000-00009D000000}"/>
    <hyperlink ref="U54" r:id="rId159" xr:uid="{00000000-0004-0000-0000-00009E000000}"/>
    <hyperlink ref="O55" r:id="rId160" xr:uid="{00000000-0004-0000-0000-00009F000000}"/>
    <hyperlink ref="P55" r:id="rId161" xr:uid="{00000000-0004-0000-0000-0000A0000000}"/>
    <hyperlink ref="U55" r:id="rId162" xr:uid="{00000000-0004-0000-0000-0000A1000000}"/>
    <hyperlink ref="O56" r:id="rId163" xr:uid="{00000000-0004-0000-0000-0000A2000000}"/>
    <hyperlink ref="P56" r:id="rId164" xr:uid="{00000000-0004-0000-0000-0000A3000000}"/>
    <hyperlink ref="U56" r:id="rId165" xr:uid="{00000000-0004-0000-0000-0000A4000000}"/>
    <hyperlink ref="O57" r:id="rId166" xr:uid="{00000000-0004-0000-0000-0000A5000000}"/>
    <hyperlink ref="P57" r:id="rId167" xr:uid="{00000000-0004-0000-0000-0000A6000000}"/>
    <hyperlink ref="U57" r:id="rId168" xr:uid="{00000000-0004-0000-0000-0000A7000000}"/>
    <hyperlink ref="O58" r:id="rId169" xr:uid="{00000000-0004-0000-0000-0000A8000000}"/>
    <hyperlink ref="P58" r:id="rId170" xr:uid="{00000000-0004-0000-0000-0000A9000000}"/>
    <hyperlink ref="U58" r:id="rId171" xr:uid="{00000000-0004-0000-0000-0000AA000000}"/>
    <hyperlink ref="O59" r:id="rId172" xr:uid="{00000000-0004-0000-0000-0000AB000000}"/>
    <hyperlink ref="P59" r:id="rId173" xr:uid="{00000000-0004-0000-0000-0000AC000000}"/>
    <hyperlink ref="U59" r:id="rId174" xr:uid="{00000000-0004-0000-0000-0000AD000000}"/>
    <hyperlink ref="O60" r:id="rId175" xr:uid="{00000000-0004-0000-0000-0000AE000000}"/>
    <hyperlink ref="P60" r:id="rId176" xr:uid="{00000000-0004-0000-0000-0000AF000000}"/>
    <hyperlink ref="U60" r:id="rId177" xr:uid="{00000000-0004-0000-0000-0000B0000000}"/>
    <hyperlink ref="O61" r:id="rId178" xr:uid="{00000000-0004-0000-0000-0000B1000000}"/>
    <hyperlink ref="P61" r:id="rId179" xr:uid="{00000000-0004-0000-0000-0000B2000000}"/>
    <hyperlink ref="U61" r:id="rId180" xr:uid="{00000000-0004-0000-0000-0000B3000000}"/>
    <hyperlink ref="O62" r:id="rId181" xr:uid="{00000000-0004-0000-0000-0000B4000000}"/>
    <hyperlink ref="P62" r:id="rId182" xr:uid="{00000000-0004-0000-0000-0000B5000000}"/>
    <hyperlink ref="U62" r:id="rId183" xr:uid="{00000000-0004-0000-0000-0000B6000000}"/>
    <hyperlink ref="O63" r:id="rId184" xr:uid="{00000000-0004-0000-0000-0000B7000000}"/>
    <hyperlink ref="P63" r:id="rId185" xr:uid="{00000000-0004-0000-0000-0000B8000000}"/>
    <hyperlink ref="U63" r:id="rId186" xr:uid="{00000000-0004-0000-0000-0000B9000000}"/>
    <hyperlink ref="O64" r:id="rId187" xr:uid="{00000000-0004-0000-0000-0000BA000000}"/>
    <hyperlink ref="P64" r:id="rId188" xr:uid="{00000000-0004-0000-0000-0000BB000000}"/>
    <hyperlink ref="U64" r:id="rId189" xr:uid="{00000000-0004-0000-0000-0000BC000000}"/>
    <hyperlink ref="O65" r:id="rId190" xr:uid="{00000000-0004-0000-0000-0000BD000000}"/>
    <hyperlink ref="P65" r:id="rId191" xr:uid="{00000000-0004-0000-0000-0000BE000000}"/>
    <hyperlink ref="U65" r:id="rId192" xr:uid="{00000000-0004-0000-0000-0000BF000000}"/>
    <hyperlink ref="O66" r:id="rId193" xr:uid="{00000000-0004-0000-0000-0000C0000000}"/>
    <hyperlink ref="P66" r:id="rId194" xr:uid="{00000000-0004-0000-0000-0000C1000000}"/>
    <hyperlink ref="U66" r:id="rId195" xr:uid="{00000000-0004-0000-0000-0000C2000000}"/>
    <hyperlink ref="O67" r:id="rId196" xr:uid="{00000000-0004-0000-0000-0000C3000000}"/>
    <hyperlink ref="P67" r:id="rId197" xr:uid="{00000000-0004-0000-0000-0000C4000000}"/>
    <hyperlink ref="U67" r:id="rId198" xr:uid="{00000000-0004-0000-0000-0000C5000000}"/>
    <hyperlink ref="O68" r:id="rId199" xr:uid="{00000000-0004-0000-0000-0000C6000000}"/>
    <hyperlink ref="P68" r:id="rId200" xr:uid="{00000000-0004-0000-0000-0000C7000000}"/>
    <hyperlink ref="U68" r:id="rId201" xr:uid="{00000000-0004-0000-0000-0000C8000000}"/>
    <hyperlink ref="O69" r:id="rId202" xr:uid="{00000000-0004-0000-0000-0000C9000000}"/>
    <hyperlink ref="P69" r:id="rId203" xr:uid="{00000000-0004-0000-0000-0000CA000000}"/>
    <hyperlink ref="U69" r:id="rId204" xr:uid="{00000000-0004-0000-0000-0000CB000000}"/>
    <hyperlink ref="O70" r:id="rId205" xr:uid="{00000000-0004-0000-0000-0000CC000000}"/>
    <hyperlink ref="P70" r:id="rId206" xr:uid="{00000000-0004-0000-0000-0000CD000000}"/>
    <hyperlink ref="U70" r:id="rId207" xr:uid="{00000000-0004-0000-0000-0000CE000000}"/>
    <hyperlink ref="O71" r:id="rId208" xr:uid="{00000000-0004-0000-0000-0000CF000000}"/>
    <hyperlink ref="P71" r:id="rId209" xr:uid="{00000000-0004-0000-0000-0000D0000000}"/>
    <hyperlink ref="U71" r:id="rId210" xr:uid="{00000000-0004-0000-0000-0000D1000000}"/>
    <hyperlink ref="O72" r:id="rId211" xr:uid="{00000000-0004-0000-0000-0000D2000000}"/>
    <hyperlink ref="P72" r:id="rId212" xr:uid="{00000000-0004-0000-0000-0000D3000000}"/>
    <hyperlink ref="U72" r:id="rId213" xr:uid="{00000000-0004-0000-0000-0000D4000000}"/>
    <hyperlink ref="O73" r:id="rId214" xr:uid="{00000000-0004-0000-0000-0000D5000000}"/>
    <hyperlink ref="P73" r:id="rId215" xr:uid="{00000000-0004-0000-0000-0000D6000000}"/>
    <hyperlink ref="U73" r:id="rId216" xr:uid="{00000000-0004-0000-0000-0000D7000000}"/>
    <hyperlink ref="O74" r:id="rId217" xr:uid="{00000000-0004-0000-0000-0000D8000000}"/>
    <hyperlink ref="P74" r:id="rId218" xr:uid="{00000000-0004-0000-0000-0000D9000000}"/>
    <hyperlink ref="U74" r:id="rId219" xr:uid="{00000000-0004-0000-0000-0000DA000000}"/>
    <hyperlink ref="O75" r:id="rId220" xr:uid="{00000000-0004-0000-0000-0000DB000000}"/>
    <hyperlink ref="P75" r:id="rId221" xr:uid="{00000000-0004-0000-0000-0000DC000000}"/>
    <hyperlink ref="U75" r:id="rId222" xr:uid="{00000000-0004-0000-0000-0000DD000000}"/>
    <hyperlink ref="O76" r:id="rId223" xr:uid="{00000000-0004-0000-0000-0000DE000000}"/>
    <hyperlink ref="P76" r:id="rId224" xr:uid="{00000000-0004-0000-0000-0000DF000000}"/>
    <hyperlink ref="U76" r:id="rId225" xr:uid="{00000000-0004-0000-0000-0000E0000000}"/>
    <hyperlink ref="O77" r:id="rId226" xr:uid="{00000000-0004-0000-0000-0000E1000000}"/>
    <hyperlink ref="P77" r:id="rId227" xr:uid="{00000000-0004-0000-0000-0000E2000000}"/>
    <hyperlink ref="U77" r:id="rId228" xr:uid="{00000000-0004-0000-0000-0000E3000000}"/>
    <hyperlink ref="O78" r:id="rId229" xr:uid="{00000000-0004-0000-0000-0000E4000000}"/>
    <hyperlink ref="P78" r:id="rId230" xr:uid="{00000000-0004-0000-0000-0000E5000000}"/>
    <hyperlink ref="U78" r:id="rId231" xr:uid="{00000000-0004-0000-0000-0000E6000000}"/>
    <hyperlink ref="O79" r:id="rId232" xr:uid="{00000000-0004-0000-0000-0000E7000000}"/>
    <hyperlink ref="P79" r:id="rId233" xr:uid="{00000000-0004-0000-0000-0000E8000000}"/>
    <hyperlink ref="U79" r:id="rId234" xr:uid="{00000000-0004-0000-0000-0000E9000000}"/>
    <hyperlink ref="O80" r:id="rId235" xr:uid="{00000000-0004-0000-0000-0000EA000000}"/>
    <hyperlink ref="P80" r:id="rId236" xr:uid="{00000000-0004-0000-0000-0000EB000000}"/>
    <hyperlink ref="U80" r:id="rId237" xr:uid="{00000000-0004-0000-0000-0000EC000000}"/>
    <hyperlink ref="O81" r:id="rId238" xr:uid="{00000000-0004-0000-0000-0000ED000000}"/>
    <hyperlink ref="P81" r:id="rId239" xr:uid="{00000000-0004-0000-0000-0000EE000000}"/>
    <hyperlink ref="U81" r:id="rId240" xr:uid="{00000000-0004-0000-0000-0000EF000000}"/>
    <hyperlink ref="O82" r:id="rId241" xr:uid="{00000000-0004-0000-0000-0000F0000000}"/>
    <hyperlink ref="P82" r:id="rId242" xr:uid="{00000000-0004-0000-0000-0000F1000000}"/>
    <hyperlink ref="U82" r:id="rId243" xr:uid="{00000000-0004-0000-0000-0000F2000000}"/>
    <hyperlink ref="O83" r:id="rId244" xr:uid="{00000000-0004-0000-0000-0000F3000000}"/>
    <hyperlink ref="P83" r:id="rId245" xr:uid="{00000000-0004-0000-0000-0000F4000000}"/>
    <hyperlink ref="U83" r:id="rId246" xr:uid="{00000000-0004-0000-0000-0000F5000000}"/>
    <hyperlink ref="O84" r:id="rId247" xr:uid="{00000000-0004-0000-0000-0000F6000000}"/>
    <hyperlink ref="P84" r:id="rId248" xr:uid="{00000000-0004-0000-0000-0000F7000000}"/>
    <hyperlink ref="U84" r:id="rId249" xr:uid="{00000000-0004-0000-0000-0000F8000000}"/>
    <hyperlink ref="O85" r:id="rId250" xr:uid="{00000000-0004-0000-0000-0000F9000000}"/>
    <hyperlink ref="P85" r:id="rId251" xr:uid="{00000000-0004-0000-0000-0000FA000000}"/>
    <hyperlink ref="U85" r:id="rId252" xr:uid="{00000000-0004-0000-0000-0000FB000000}"/>
    <hyperlink ref="O86" r:id="rId253" xr:uid="{00000000-0004-0000-0000-0000FC000000}"/>
    <hyperlink ref="P86" r:id="rId254" xr:uid="{00000000-0004-0000-0000-0000FD000000}"/>
    <hyperlink ref="U86" r:id="rId255" xr:uid="{00000000-0004-0000-0000-0000FE000000}"/>
    <hyperlink ref="O87" r:id="rId256" xr:uid="{00000000-0004-0000-0000-0000FF000000}"/>
    <hyperlink ref="P87" r:id="rId257" xr:uid="{00000000-0004-0000-0000-000000010000}"/>
    <hyperlink ref="U87" r:id="rId258" xr:uid="{00000000-0004-0000-0000-000001010000}"/>
    <hyperlink ref="O88" r:id="rId259" xr:uid="{00000000-0004-0000-0000-000002010000}"/>
    <hyperlink ref="P88" r:id="rId260" xr:uid="{00000000-0004-0000-0000-000003010000}"/>
    <hyperlink ref="U88" r:id="rId261" xr:uid="{00000000-0004-0000-0000-000004010000}"/>
    <hyperlink ref="O89" r:id="rId262" xr:uid="{00000000-0004-0000-0000-000005010000}"/>
    <hyperlink ref="P89" r:id="rId263" xr:uid="{00000000-0004-0000-0000-000006010000}"/>
    <hyperlink ref="U89" r:id="rId264" xr:uid="{00000000-0004-0000-0000-000007010000}"/>
    <hyperlink ref="O90" r:id="rId265" xr:uid="{00000000-0004-0000-0000-000008010000}"/>
    <hyperlink ref="P90" r:id="rId266" xr:uid="{00000000-0004-0000-0000-000009010000}"/>
    <hyperlink ref="U90" r:id="rId267" xr:uid="{00000000-0004-0000-0000-00000A010000}"/>
    <hyperlink ref="O91" r:id="rId268" xr:uid="{00000000-0004-0000-0000-00000B010000}"/>
    <hyperlink ref="P91" r:id="rId269" xr:uid="{00000000-0004-0000-0000-00000C010000}"/>
    <hyperlink ref="U91" r:id="rId270" xr:uid="{00000000-0004-0000-0000-00000D010000}"/>
    <hyperlink ref="O92" r:id="rId271" xr:uid="{00000000-0004-0000-0000-00000E010000}"/>
    <hyperlink ref="P92" r:id="rId272" xr:uid="{00000000-0004-0000-0000-00000F010000}"/>
    <hyperlink ref="U92" r:id="rId273" xr:uid="{00000000-0004-0000-0000-000010010000}"/>
    <hyperlink ref="O93" r:id="rId274" xr:uid="{00000000-0004-0000-0000-000011010000}"/>
    <hyperlink ref="P93" r:id="rId275" xr:uid="{00000000-0004-0000-0000-000012010000}"/>
    <hyperlink ref="U93" r:id="rId276" xr:uid="{00000000-0004-0000-0000-000013010000}"/>
    <hyperlink ref="O94" r:id="rId277" xr:uid="{00000000-0004-0000-0000-000014010000}"/>
    <hyperlink ref="P94" r:id="rId278" xr:uid="{00000000-0004-0000-0000-000015010000}"/>
    <hyperlink ref="U94" r:id="rId279" xr:uid="{00000000-0004-0000-0000-000016010000}"/>
    <hyperlink ref="O95" r:id="rId280" xr:uid="{00000000-0004-0000-0000-000017010000}"/>
    <hyperlink ref="P95" r:id="rId281" xr:uid="{00000000-0004-0000-0000-000018010000}"/>
    <hyperlink ref="U95" r:id="rId282" xr:uid="{00000000-0004-0000-0000-000019010000}"/>
    <hyperlink ref="O96" r:id="rId283" xr:uid="{00000000-0004-0000-0000-00001A010000}"/>
    <hyperlink ref="P96" r:id="rId284" xr:uid="{00000000-0004-0000-0000-00001B010000}"/>
    <hyperlink ref="U96" r:id="rId285" xr:uid="{00000000-0004-0000-0000-00001C010000}"/>
    <hyperlink ref="O97" r:id="rId286" xr:uid="{00000000-0004-0000-0000-00001D010000}"/>
    <hyperlink ref="P97" r:id="rId287" xr:uid="{00000000-0004-0000-0000-00001E010000}"/>
    <hyperlink ref="U97" r:id="rId288" xr:uid="{00000000-0004-0000-0000-00001F010000}"/>
    <hyperlink ref="O98" r:id="rId289" xr:uid="{00000000-0004-0000-0000-000020010000}"/>
    <hyperlink ref="P98" r:id="rId290" xr:uid="{00000000-0004-0000-0000-000021010000}"/>
    <hyperlink ref="U98" r:id="rId291" xr:uid="{00000000-0004-0000-0000-000022010000}"/>
    <hyperlink ref="O99" r:id="rId292" xr:uid="{00000000-0004-0000-0000-000023010000}"/>
    <hyperlink ref="P99" r:id="rId293" xr:uid="{00000000-0004-0000-0000-000024010000}"/>
    <hyperlink ref="U99" r:id="rId294" xr:uid="{00000000-0004-0000-0000-000025010000}"/>
    <hyperlink ref="O100" r:id="rId295" xr:uid="{00000000-0004-0000-0000-000026010000}"/>
    <hyperlink ref="P100" r:id="rId296" xr:uid="{00000000-0004-0000-0000-000027010000}"/>
    <hyperlink ref="U100" r:id="rId297" xr:uid="{00000000-0004-0000-0000-000028010000}"/>
    <hyperlink ref="O101" r:id="rId298" xr:uid="{00000000-0004-0000-0000-000029010000}"/>
    <hyperlink ref="P101" r:id="rId299" xr:uid="{00000000-0004-0000-0000-00002A010000}"/>
    <hyperlink ref="U101" r:id="rId300" xr:uid="{00000000-0004-0000-0000-00002B010000}"/>
    <hyperlink ref="O102" r:id="rId301" xr:uid="{00000000-0004-0000-0000-00002C010000}"/>
    <hyperlink ref="P102" r:id="rId302" xr:uid="{00000000-0004-0000-0000-00002D010000}"/>
    <hyperlink ref="U102" r:id="rId303" xr:uid="{00000000-0004-0000-0000-00002E010000}"/>
    <hyperlink ref="O103" r:id="rId304" xr:uid="{00000000-0004-0000-0000-00002F010000}"/>
    <hyperlink ref="P103" r:id="rId305" xr:uid="{00000000-0004-0000-0000-000030010000}"/>
    <hyperlink ref="U103" r:id="rId306" xr:uid="{00000000-0004-0000-0000-000031010000}"/>
    <hyperlink ref="O104" r:id="rId307" xr:uid="{00000000-0004-0000-0000-000032010000}"/>
    <hyperlink ref="P104" r:id="rId308" xr:uid="{00000000-0004-0000-0000-000033010000}"/>
    <hyperlink ref="U104" r:id="rId309" xr:uid="{00000000-0004-0000-0000-000034010000}"/>
    <hyperlink ref="O105" r:id="rId310" xr:uid="{00000000-0004-0000-0000-000035010000}"/>
    <hyperlink ref="P105" r:id="rId311" xr:uid="{00000000-0004-0000-0000-000036010000}"/>
    <hyperlink ref="U105" r:id="rId312" xr:uid="{00000000-0004-0000-0000-000037010000}"/>
    <hyperlink ref="O106" r:id="rId313" xr:uid="{00000000-0004-0000-0000-000038010000}"/>
    <hyperlink ref="P106" r:id="rId314" xr:uid="{00000000-0004-0000-0000-000039010000}"/>
    <hyperlink ref="U106" r:id="rId315" xr:uid="{00000000-0004-0000-0000-00003A010000}"/>
    <hyperlink ref="O107" r:id="rId316" xr:uid="{00000000-0004-0000-0000-00003B010000}"/>
    <hyperlink ref="P107" r:id="rId317" xr:uid="{00000000-0004-0000-0000-00003C010000}"/>
    <hyperlink ref="U107" r:id="rId318" xr:uid="{00000000-0004-0000-0000-00003D010000}"/>
    <hyperlink ref="O108" r:id="rId319" xr:uid="{00000000-0004-0000-0000-00003E010000}"/>
    <hyperlink ref="P108" r:id="rId320" xr:uid="{00000000-0004-0000-0000-00003F010000}"/>
    <hyperlink ref="U108" r:id="rId321" xr:uid="{00000000-0004-0000-0000-000040010000}"/>
    <hyperlink ref="O109" r:id="rId322" xr:uid="{00000000-0004-0000-0000-000041010000}"/>
    <hyperlink ref="P109" r:id="rId323" xr:uid="{00000000-0004-0000-0000-000042010000}"/>
    <hyperlink ref="U109" r:id="rId324" xr:uid="{00000000-0004-0000-0000-000043010000}"/>
    <hyperlink ref="O110" r:id="rId325" xr:uid="{00000000-0004-0000-0000-000044010000}"/>
    <hyperlink ref="P110" r:id="rId326" xr:uid="{00000000-0004-0000-0000-000045010000}"/>
    <hyperlink ref="U110" r:id="rId327" xr:uid="{00000000-0004-0000-0000-000046010000}"/>
    <hyperlink ref="O111" r:id="rId328" xr:uid="{00000000-0004-0000-0000-000047010000}"/>
    <hyperlink ref="P111" r:id="rId329" xr:uid="{00000000-0004-0000-0000-000048010000}"/>
    <hyperlink ref="U111" r:id="rId330" xr:uid="{00000000-0004-0000-0000-000049010000}"/>
    <hyperlink ref="O112" r:id="rId331" xr:uid="{00000000-0004-0000-0000-00004A010000}"/>
    <hyperlink ref="P112" r:id="rId332" xr:uid="{00000000-0004-0000-0000-00004B010000}"/>
    <hyperlink ref="U112" r:id="rId333" xr:uid="{00000000-0004-0000-0000-00004C010000}"/>
    <hyperlink ref="O113" r:id="rId334" xr:uid="{00000000-0004-0000-0000-00004D010000}"/>
    <hyperlink ref="P113" r:id="rId335" xr:uid="{00000000-0004-0000-0000-00004E010000}"/>
    <hyperlink ref="U113" r:id="rId336" xr:uid="{00000000-0004-0000-0000-00004F010000}"/>
    <hyperlink ref="O114" r:id="rId337" xr:uid="{00000000-0004-0000-0000-000050010000}"/>
    <hyperlink ref="P114" r:id="rId338" xr:uid="{00000000-0004-0000-0000-000051010000}"/>
    <hyperlink ref="U114" r:id="rId339" xr:uid="{00000000-0004-0000-0000-000052010000}"/>
    <hyperlink ref="O115" r:id="rId340" xr:uid="{00000000-0004-0000-0000-000053010000}"/>
    <hyperlink ref="P115" r:id="rId341" xr:uid="{00000000-0004-0000-0000-000054010000}"/>
    <hyperlink ref="U115" r:id="rId342" xr:uid="{00000000-0004-0000-0000-000055010000}"/>
    <hyperlink ref="O116" r:id="rId343" xr:uid="{00000000-0004-0000-0000-000056010000}"/>
    <hyperlink ref="P116" r:id="rId344" xr:uid="{00000000-0004-0000-0000-000057010000}"/>
    <hyperlink ref="U116" r:id="rId345" xr:uid="{00000000-0004-0000-0000-000058010000}"/>
    <hyperlink ref="O117" r:id="rId346" xr:uid="{00000000-0004-0000-0000-000059010000}"/>
    <hyperlink ref="P117" r:id="rId347" xr:uid="{00000000-0004-0000-0000-00005A010000}"/>
    <hyperlink ref="U117" r:id="rId348" xr:uid="{00000000-0004-0000-0000-00005B010000}"/>
    <hyperlink ref="O118" r:id="rId349" xr:uid="{00000000-0004-0000-0000-00005C010000}"/>
    <hyperlink ref="P118" r:id="rId350" xr:uid="{00000000-0004-0000-0000-00005D010000}"/>
    <hyperlink ref="U118" r:id="rId351" xr:uid="{00000000-0004-0000-0000-00005E010000}"/>
    <hyperlink ref="O119" r:id="rId352" xr:uid="{00000000-0004-0000-0000-00005F010000}"/>
    <hyperlink ref="P119" r:id="rId353" xr:uid="{00000000-0004-0000-0000-000060010000}"/>
    <hyperlink ref="U119" r:id="rId354" xr:uid="{00000000-0004-0000-0000-000061010000}"/>
    <hyperlink ref="O120" r:id="rId355" xr:uid="{00000000-0004-0000-0000-000062010000}"/>
    <hyperlink ref="P120" r:id="rId356" xr:uid="{00000000-0004-0000-0000-000063010000}"/>
    <hyperlink ref="U120" r:id="rId357" xr:uid="{00000000-0004-0000-0000-000064010000}"/>
    <hyperlink ref="O121" r:id="rId358" xr:uid="{00000000-0004-0000-0000-000065010000}"/>
    <hyperlink ref="P121" r:id="rId359" xr:uid="{00000000-0004-0000-0000-000066010000}"/>
    <hyperlink ref="U121" r:id="rId360" xr:uid="{00000000-0004-0000-0000-00006701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0"/>
  <sheetViews>
    <sheetView topLeftCell="A45" workbookViewId="0">
      <selection activeCell="A74" sqref="A74:XFD74"/>
    </sheetView>
  </sheetViews>
  <sheetFormatPr baseColWidth="10" defaultColWidth="14.5" defaultRowHeight="15" customHeight="1" x14ac:dyDescent="0.2"/>
  <cols>
    <col min="1" max="11" width="8.6640625" customWidth="1"/>
    <col min="12" max="12" width="29.83203125" customWidth="1"/>
    <col min="13" max="14" width="8.6640625" customWidth="1"/>
    <col min="15" max="15" width="19" customWidth="1"/>
    <col min="16" max="21" width="8.6640625" customWidth="1"/>
    <col min="22" max="22" width="26.83203125" customWidth="1"/>
    <col min="23" max="23" width="41.83203125" customWidth="1"/>
    <col min="24" max="24" width="40.33203125" customWidth="1"/>
    <col min="25" max="25" width="29" customWidth="1"/>
    <col min="26" max="26" width="27.6640625" customWidth="1"/>
    <col min="27" max="27" width="43" customWidth="1"/>
    <col min="28" max="28" width="34.6640625" customWidth="1"/>
    <col min="29" max="29" width="20.1640625" customWidth="1"/>
    <col min="30" max="30" width="19.6640625" customWidth="1"/>
    <col min="31" max="31" width="12.5" customWidth="1"/>
    <col min="32" max="32" width="8.6640625" customWidth="1"/>
  </cols>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6" t="s">
        <v>1981</v>
      </c>
      <c r="U1" s="1" t="s">
        <v>20</v>
      </c>
      <c r="V1" s="2" t="s">
        <v>21</v>
      </c>
      <c r="W1" s="2" t="s">
        <v>22</v>
      </c>
      <c r="X1" s="2" t="s">
        <v>23</v>
      </c>
      <c r="Y1" s="2" t="s">
        <v>24</v>
      </c>
      <c r="Z1" s="2" t="s">
        <v>25</v>
      </c>
      <c r="AA1" s="2" t="s">
        <v>26</v>
      </c>
      <c r="AB1" s="2" t="s">
        <v>27</v>
      </c>
      <c r="AC1" s="1" t="s">
        <v>28</v>
      </c>
      <c r="AD1" s="2" t="s">
        <v>29</v>
      </c>
      <c r="AE1" s="2" t="s">
        <v>30</v>
      </c>
      <c r="AF1" s="2" t="s">
        <v>31</v>
      </c>
    </row>
    <row r="2" spans="1:32" x14ac:dyDescent="0.2">
      <c r="A2" s="7" t="s">
        <v>519</v>
      </c>
      <c r="B2" s="7" t="s">
        <v>239</v>
      </c>
      <c r="C2" s="7" t="s">
        <v>520</v>
      </c>
      <c r="D2" s="7" t="s">
        <v>521</v>
      </c>
      <c r="E2" s="7" t="s">
        <v>522</v>
      </c>
      <c r="F2" s="7" t="s">
        <v>523</v>
      </c>
      <c r="G2" s="7" t="s">
        <v>524</v>
      </c>
      <c r="H2" s="7" t="s">
        <v>39</v>
      </c>
      <c r="I2" s="7" t="s">
        <v>525</v>
      </c>
      <c r="J2" s="7" t="s">
        <v>378</v>
      </c>
      <c r="K2" s="7" t="s">
        <v>526</v>
      </c>
      <c r="L2" s="7" t="s">
        <v>527</v>
      </c>
      <c r="M2" s="7" t="s">
        <v>528</v>
      </c>
      <c r="N2" s="7" t="s">
        <v>529</v>
      </c>
      <c r="O2" s="8" t="s">
        <v>530</v>
      </c>
      <c r="P2" s="8" t="s">
        <v>531</v>
      </c>
      <c r="Q2" s="7" t="s">
        <v>48</v>
      </c>
      <c r="R2" s="7"/>
      <c r="S2" s="7" t="s">
        <v>49</v>
      </c>
      <c r="T2" s="7"/>
      <c r="U2" s="8" t="s">
        <v>532</v>
      </c>
      <c r="V2" s="7" t="s">
        <v>533</v>
      </c>
      <c r="W2" s="7" t="s">
        <v>534</v>
      </c>
      <c r="X2" s="7">
        <v>25</v>
      </c>
      <c r="Y2" s="7">
        <v>3</v>
      </c>
      <c r="Z2" s="7">
        <v>6</v>
      </c>
      <c r="AA2" s="7">
        <v>3</v>
      </c>
      <c r="AB2" s="7">
        <v>4</v>
      </c>
      <c r="AC2" s="7">
        <f t="shared" ref="AC2:AC121" si="0">IF(B2="Ghana",0,5)</f>
        <v>5</v>
      </c>
      <c r="AD2" s="7">
        <f t="shared" ref="AD2:AD121" si="1">IF(H2="Female",5,0)</f>
        <v>0</v>
      </c>
      <c r="AE2" s="7">
        <f t="shared" ref="AE2:AE121" si="2">SUM(X2:AD2)</f>
        <v>46</v>
      </c>
      <c r="AF2" s="7" t="s">
        <v>535</v>
      </c>
    </row>
    <row r="3" spans="1:32" x14ac:dyDescent="0.2">
      <c r="A3" s="7" t="s">
        <v>1206</v>
      </c>
      <c r="B3" s="7" t="s">
        <v>188</v>
      </c>
      <c r="C3" s="7" t="s">
        <v>1207</v>
      </c>
      <c r="D3" s="7" t="s">
        <v>1208</v>
      </c>
      <c r="E3" s="7" t="s">
        <v>1209</v>
      </c>
      <c r="F3" s="7" t="s">
        <v>1210</v>
      </c>
      <c r="G3" s="7" t="s">
        <v>1211</v>
      </c>
      <c r="H3" s="7" t="s">
        <v>39</v>
      </c>
      <c r="I3" s="7" t="s">
        <v>1212</v>
      </c>
      <c r="J3" s="7" t="s">
        <v>1213</v>
      </c>
      <c r="K3" s="7" t="s">
        <v>1214</v>
      </c>
      <c r="L3" s="7" t="s">
        <v>1215</v>
      </c>
      <c r="M3" s="7" t="s">
        <v>1216</v>
      </c>
      <c r="N3" s="7" t="s">
        <v>1217</v>
      </c>
      <c r="O3" s="8" t="s">
        <v>1218</v>
      </c>
      <c r="P3" s="8" t="s">
        <v>1219</v>
      </c>
      <c r="Q3" s="7" t="s">
        <v>48</v>
      </c>
      <c r="R3" s="7" t="s">
        <v>1220</v>
      </c>
      <c r="S3" s="7" t="s">
        <v>49</v>
      </c>
      <c r="T3" s="7" t="s">
        <v>1221</v>
      </c>
      <c r="U3" s="8" t="s">
        <v>1222</v>
      </c>
      <c r="V3" s="7" t="s">
        <v>1223</v>
      </c>
      <c r="W3" s="7" t="s">
        <v>1224</v>
      </c>
      <c r="X3" s="7">
        <v>25</v>
      </c>
      <c r="Y3" s="7">
        <v>2</v>
      </c>
      <c r="Z3" s="7">
        <v>7</v>
      </c>
      <c r="AA3" s="7">
        <v>3</v>
      </c>
      <c r="AB3" s="7">
        <v>4</v>
      </c>
      <c r="AC3" s="7">
        <f t="shared" si="0"/>
        <v>5</v>
      </c>
      <c r="AD3" s="7">
        <f t="shared" si="1"/>
        <v>0</v>
      </c>
      <c r="AE3" s="7">
        <f t="shared" si="2"/>
        <v>46</v>
      </c>
      <c r="AF3" s="7" t="s">
        <v>535</v>
      </c>
    </row>
    <row r="4" spans="1:32" x14ac:dyDescent="0.2">
      <c r="A4" s="7" t="s">
        <v>1611</v>
      </c>
      <c r="B4" s="7" t="s">
        <v>72</v>
      </c>
      <c r="C4" s="7" t="s">
        <v>1612</v>
      </c>
      <c r="D4" s="7" t="s">
        <v>1613</v>
      </c>
      <c r="E4" s="7"/>
      <c r="F4" s="7" t="s">
        <v>1614</v>
      </c>
      <c r="G4" s="7" t="s">
        <v>1615</v>
      </c>
      <c r="H4" s="7" t="s">
        <v>39</v>
      </c>
      <c r="I4" s="7" t="s">
        <v>1616</v>
      </c>
      <c r="J4" s="7" t="s">
        <v>1617</v>
      </c>
      <c r="K4" s="7" t="s">
        <v>1618</v>
      </c>
      <c r="L4" s="7" t="s">
        <v>1619</v>
      </c>
      <c r="M4" s="7" t="s">
        <v>1620</v>
      </c>
      <c r="N4" s="7" t="s">
        <v>1621</v>
      </c>
      <c r="O4" s="8" t="s">
        <v>1622</v>
      </c>
      <c r="P4" s="8" t="s">
        <v>1623</v>
      </c>
      <c r="Q4" s="7" t="s">
        <v>49</v>
      </c>
      <c r="R4" s="7"/>
      <c r="S4" s="7" t="s">
        <v>48</v>
      </c>
      <c r="T4" s="7"/>
      <c r="U4" s="8" t="s">
        <v>1624</v>
      </c>
      <c r="V4" s="7" t="s">
        <v>1625</v>
      </c>
      <c r="W4" s="7" t="s">
        <v>1625</v>
      </c>
      <c r="X4" s="7">
        <v>25</v>
      </c>
      <c r="Y4" s="7">
        <v>0</v>
      </c>
      <c r="Z4" s="7">
        <v>5</v>
      </c>
      <c r="AA4" s="7">
        <v>4</v>
      </c>
      <c r="AB4" s="7">
        <v>4</v>
      </c>
      <c r="AC4" s="7">
        <f t="shared" si="0"/>
        <v>5</v>
      </c>
      <c r="AD4" s="7">
        <f t="shared" si="1"/>
        <v>0</v>
      </c>
      <c r="AE4" s="7">
        <f t="shared" si="2"/>
        <v>43</v>
      </c>
      <c r="AF4" s="7" t="s">
        <v>535</v>
      </c>
    </row>
    <row r="5" spans="1:32" x14ac:dyDescent="0.2">
      <c r="A5" s="7" t="s">
        <v>1113</v>
      </c>
      <c r="B5" s="7" t="s">
        <v>55</v>
      </c>
      <c r="C5" s="7" t="s">
        <v>1114</v>
      </c>
      <c r="D5" s="7" t="s">
        <v>1115</v>
      </c>
      <c r="E5" s="7" t="s">
        <v>1116</v>
      </c>
      <c r="F5" s="7" t="s">
        <v>1117</v>
      </c>
      <c r="G5" s="7" t="s">
        <v>1118</v>
      </c>
      <c r="H5" s="7" t="s">
        <v>39</v>
      </c>
      <c r="I5" s="7" t="s">
        <v>377</v>
      </c>
      <c r="J5" s="7" t="s">
        <v>1119</v>
      </c>
      <c r="K5" s="7" t="s">
        <v>1120</v>
      </c>
      <c r="L5" s="7" t="s">
        <v>1121</v>
      </c>
      <c r="M5" s="7" t="s">
        <v>1122</v>
      </c>
      <c r="N5" s="7" t="s">
        <v>1123</v>
      </c>
      <c r="O5" s="8" t="s">
        <v>1124</v>
      </c>
      <c r="P5" s="8" t="s">
        <v>1125</v>
      </c>
      <c r="Q5" s="7" t="s">
        <v>48</v>
      </c>
      <c r="R5" s="7"/>
      <c r="S5" s="7" t="s">
        <v>49</v>
      </c>
      <c r="T5" s="7"/>
      <c r="U5" s="8" t="s">
        <v>1126</v>
      </c>
      <c r="V5" s="7" t="s">
        <v>1127</v>
      </c>
      <c r="W5" s="7"/>
      <c r="X5" s="7">
        <v>25</v>
      </c>
      <c r="Y5" s="7"/>
      <c r="Z5" s="7"/>
      <c r="AA5" s="7"/>
      <c r="AB5" s="7"/>
      <c r="AC5" s="7">
        <f t="shared" si="0"/>
        <v>0</v>
      </c>
      <c r="AD5" s="7">
        <f t="shared" si="1"/>
        <v>0</v>
      </c>
      <c r="AE5" s="7">
        <f t="shared" si="2"/>
        <v>25</v>
      </c>
      <c r="AF5" s="7"/>
    </row>
    <row r="6" spans="1:32" x14ac:dyDescent="0.2">
      <c r="A6" s="9" t="s">
        <v>749</v>
      </c>
      <c r="B6" s="9" t="s">
        <v>72</v>
      </c>
      <c r="C6" s="9" t="s">
        <v>750</v>
      </c>
      <c r="D6" s="9" t="s">
        <v>751</v>
      </c>
      <c r="E6" s="9" t="s">
        <v>751</v>
      </c>
      <c r="F6" s="9" t="s">
        <v>752</v>
      </c>
      <c r="G6" s="9" t="s">
        <v>753</v>
      </c>
      <c r="H6" s="9" t="s">
        <v>39</v>
      </c>
      <c r="I6" s="9" t="s">
        <v>754</v>
      </c>
      <c r="J6" s="9" t="s">
        <v>755</v>
      </c>
      <c r="K6" s="9" t="s">
        <v>756</v>
      </c>
      <c r="L6" s="9" t="s">
        <v>757</v>
      </c>
      <c r="M6" s="9" t="s">
        <v>758</v>
      </c>
      <c r="N6" s="9" t="s">
        <v>759</v>
      </c>
      <c r="O6" s="10" t="s">
        <v>760</v>
      </c>
      <c r="P6" s="10" t="s">
        <v>761</v>
      </c>
      <c r="Q6" s="9" t="s">
        <v>48</v>
      </c>
      <c r="R6" s="9" t="s">
        <v>1982</v>
      </c>
      <c r="S6" s="9" t="s">
        <v>48</v>
      </c>
      <c r="T6" s="9"/>
      <c r="U6" s="10" t="s">
        <v>762</v>
      </c>
      <c r="V6" s="9" t="s">
        <v>763</v>
      </c>
      <c r="W6" s="9" t="s">
        <v>763</v>
      </c>
      <c r="X6" s="9">
        <v>20</v>
      </c>
      <c r="Y6" s="9">
        <v>1</v>
      </c>
      <c r="Z6" s="9">
        <v>7</v>
      </c>
      <c r="AA6" s="9">
        <v>3</v>
      </c>
      <c r="AB6" s="9">
        <v>4</v>
      </c>
      <c r="AC6" s="9">
        <f t="shared" si="0"/>
        <v>5</v>
      </c>
      <c r="AD6" s="9">
        <f t="shared" si="1"/>
        <v>0</v>
      </c>
      <c r="AE6" s="9">
        <f t="shared" si="2"/>
        <v>40</v>
      </c>
      <c r="AF6" s="9" t="s">
        <v>535</v>
      </c>
    </row>
    <row r="7" spans="1:32" x14ac:dyDescent="0.2">
      <c r="A7" s="7" t="s">
        <v>203</v>
      </c>
      <c r="B7" s="7" t="s">
        <v>204</v>
      </c>
      <c r="C7" s="7" t="s">
        <v>205</v>
      </c>
      <c r="D7" s="7" t="s">
        <v>206</v>
      </c>
      <c r="E7" s="7" t="s">
        <v>207</v>
      </c>
      <c r="F7" s="7" t="s">
        <v>208</v>
      </c>
      <c r="G7" s="7" t="s">
        <v>209</v>
      </c>
      <c r="H7" s="7" t="s">
        <v>39</v>
      </c>
      <c r="I7" s="7" t="s">
        <v>210</v>
      </c>
      <c r="J7" s="7" t="s">
        <v>211</v>
      </c>
      <c r="K7" s="7" t="s">
        <v>212</v>
      </c>
      <c r="L7" s="7" t="s">
        <v>213</v>
      </c>
      <c r="M7" s="7" t="s">
        <v>214</v>
      </c>
      <c r="N7" s="7" t="s">
        <v>215</v>
      </c>
      <c r="O7" s="8" t="s">
        <v>216</v>
      </c>
      <c r="P7" s="8" t="s">
        <v>217</v>
      </c>
      <c r="Q7" s="7" t="s">
        <v>48</v>
      </c>
      <c r="R7" s="7" t="s">
        <v>48</v>
      </c>
      <c r="S7" s="7" t="s">
        <v>48</v>
      </c>
      <c r="T7" s="7" t="s">
        <v>48</v>
      </c>
      <c r="U7" s="8" t="s">
        <v>218</v>
      </c>
      <c r="V7" s="7" t="s">
        <v>219</v>
      </c>
      <c r="W7" s="7" t="s">
        <v>220</v>
      </c>
      <c r="X7" s="7">
        <v>20</v>
      </c>
      <c r="Y7" s="7">
        <v>2</v>
      </c>
      <c r="Z7" s="7">
        <v>7</v>
      </c>
      <c r="AA7" s="7">
        <v>4</v>
      </c>
      <c r="AB7" s="7">
        <v>6</v>
      </c>
      <c r="AC7" s="7">
        <f t="shared" si="0"/>
        <v>5</v>
      </c>
      <c r="AD7" s="7">
        <f t="shared" si="1"/>
        <v>0</v>
      </c>
      <c r="AE7" s="7">
        <f t="shared" si="2"/>
        <v>44</v>
      </c>
      <c r="AF7" s="7" t="s">
        <v>221</v>
      </c>
    </row>
    <row r="8" spans="1:32" x14ac:dyDescent="0.2">
      <c r="A8" s="7" t="s">
        <v>876</v>
      </c>
      <c r="B8" s="7" t="s">
        <v>72</v>
      </c>
      <c r="C8" s="7" t="s">
        <v>877</v>
      </c>
      <c r="D8" s="7" t="s">
        <v>878</v>
      </c>
      <c r="E8" s="7" t="s">
        <v>879</v>
      </c>
      <c r="F8" s="7" t="s">
        <v>880</v>
      </c>
      <c r="G8" s="7" t="s">
        <v>881</v>
      </c>
      <c r="H8" s="7" t="s">
        <v>39</v>
      </c>
      <c r="I8" s="7" t="s">
        <v>754</v>
      </c>
      <c r="J8" s="7" t="s">
        <v>882</v>
      </c>
      <c r="K8" s="7" t="s">
        <v>883</v>
      </c>
      <c r="L8" s="7" t="s">
        <v>884</v>
      </c>
      <c r="M8" s="7" t="s">
        <v>885</v>
      </c>
      <c r="N8" s="7" t="s">
        <v>886</v>
      </c>
      <c r="O8" s="8" t="s">
        <v>887</v>
      </c>
      <c r="P8" s="8" t="s">
        <v>888</v>
      </c>
      <c r="Q8" s="7" t="s">
        <v>48</v>
      </c>
      <c r="R8" s="7"/>
      <c r="S8" s="7" t="s">
        <v>48</v>
      </c>
      <c r="T8" s="7"/>
      <c r="U8" s="8" t="s">
        <v>889</v>
      </c>
      <c r="V8" s="7" t="s">
        <v>890</v>
      </c>
      <c r="W8" s="7" t="s">
        <v>890</v>
      </c>
      <c r="X8" s="7">
        <v>20</v>
      </c>
      <c r="Y8" s="7">
        <v>1</v>
      </c>
      <c r="Z8" s="7">
        <v>7</v>
      </c>
      <c r="AA8" s="7">
        <v>3</v>
      </c>
      <c r="AB8" s="7">
        <v>2</v>
      </c>
      <c r="AC8" s="7">
        <f t="shared" si="0"/>
        <v>5</v>
      </c>
      <c r="AD8" s="7">
        <f t="shared" si="1"/>
        <v>0</v>
      </c>
      <c r="AE8" s="7">
        <f t="shared" si="2"/>
        <v>38</v>
      </c>
      <c r="AF8" s="7" t="s">
        <v>535</v>
      </c>
    </row>
    <row r="9" spans="1:32" x14ac:dyDescent="0.2">
      <c r="A9" s="7" t="s">
        <v>1355</v>
      </c>
      <c r="B9" s="7" t="s">
        <v>72</v>
      </c>
      <c r="C9" s="7" t="s">
        <v>1356</v>
      </c>
      <c r="D9" s="7" t="s">
        <v>1357</v>
      </c>
      <c r="E9" s="7" t="s">
        <v>1358</v>
      </c>
      <c r="F9" s="7" t="s">
        <v>1359</v>
      </c>
      <c r="G9" s="7" t="s">
        <v>1360</v>
      </c>
      <c r="H9" s="7" t="s">
        <v>94</v>
      </c>
      <c r="I9" s="7" t="s">
        <v>1361</v>
      </c>
      <c r="J9" s="7" t="s">
        <v>1362</v>
      </c>
      <c r="K9" s="7" t="s">
        <v>1363</v>
      </c>
      <c r="L9" s="7" t="s">
        <v>1364</v>
      </c>
      <c r="M9" s="7" t="s">
        <v>1365</v>
      </c>
      <c r="N9" s="7" t="s">
        <v>1366</v>
      </c>
      <c r="O9" s="8" t="s">
        <v>1367</v>
      </c>
      <c r="P9" s="8" t="s">
        <v>1368</v>
      </c>
      <c r="Q9" s="7" t="s">
        <v>48</v>
      </c>
      <c r="R9" s="7"/>
      <c r="S9" s="7" t="s">
        <v>49</v>
      </c>
      <c r="T9" s="7"/>
      <c r="U9" s="8" t="s">
        <v>1369</v>
      </c>
      <c r="V9" s="7" t="s">
        <v>1370</v>
      </c>
      <c r="W9" s="7" t="s">
        <v>1370</v>
      </c>
      <c r="X9" s="7">
        <v>20</v>
      </c>
      <c r="Y9" s="7">
        <v>1</v>
      </c>
      <c r="Z9" s="7">
        <v>5</v>
      </c>
      <c r="AA9" s="7">
        <v>3</v>
      </c>
      <c r="AB9" s="7">
        <v>4</v>
      </c>
      <c r="AC9" s="7">
        <f t="shared" si="0"/>
        <v>5</v>
      </c>
      <c r="AD9" s="7">
        <f t="shared" si="1"/>
        <v>5</v>
      </c>
      <c r="AE9" s="7">
        <f t="shared" si="2"/>
        <v>43</v>
      </c>
      <c r="AF9" s="7" t="s">
        <v>535</v>
      </c>
    </row>
    <row r="10" spans="1:32" x14ac:dyDescent="0.2">
      <c r="A10" s="7" t="s">
        <v>1484</v>
      </c>
      <c r="B10" s="7" t="s">
        <v>55</v>
      </c>
      <c r="C10" s="7" t="s">
        <v>1485</v>
      </c>
      <c r="D10" s="7" t="s">
        <v>1486</v>
      </c>
      <c r="E10" s="7"/>
      <c r="F10" s="7" t="s">
        <v>1487</v>
      </c>
      <c r="G10" s="7" t="s">
        <v>1488</v>
      </c>
      <c r="H10" s="7" t="s">
        <v>39</v>
      </c>
      <c r="I10" s="7" t="s">
        <v>1489</v>
      </c>
      <c r="J10" s="7" t="s">
        <v>1490</v>
      </c>
      <c r="K10" s="7" t="s">
        <v>1491</v>
      </c>
      <c r="L10" s="7" t="s">
        <v>1492</v>
      </c>
      <c r="M10" s="7" t="s">
        <v>1493</v>
      </c>
      <c r="N10" s="7" t="s">
        <v>1494</v>
      </c>
      <c r="O10" s="8" t="s">
        <v>1495</v>
      </c>
      <c r="P10" s="8" t="s">
        <v>1496</v>
      </c>
      <c r="Q10" s="7" t="s">
        <v>48</v>
      </c>
      <c r="R10" s="7"/>
      <c r="S10" s="7" t="s">
        <v>49</v>
      </c>
      <c r="T10" s="7"/>
      <c r="U10" s="8" t="s">
        <v>1497</v>
      </c>
      <c r="V10" s="7" t="s">
        <v>1498</v>
      </c>
      <c r="W10" s="7" t="s">
        <v>1499</v>
      </c>
      <c r="X10" s="7">
        <v>20</v>
      </c>
      <c r="Y10" s="7">
        <v>1</v>
      </c>
      <c r="Z10" s="7">
        <v>6</v>
      </c>
      <c r="AA10" s="7">
        <v>4</v>
      </c>
      <c r="AB10" s="7">
        <v>4</v>
      </c>
      <c r="AC10" s="7">
        <f t="shared" si="0"/>
        <v>0</v>
      </c>
      <c r="AD10" s="7">
        <f t="shared" si="1"/>
        <v>0</v>
      </c>
      <c r="AE10" s="7">
        <f t="shared" si="2"/>
        <v>35</v>
      </c>
      <c r="AF10" s="7" t="s">
        <v>535</v>
      </c>
    </row>
    <row r="11" spans="1:32" x14ac:dyDescent="0.2">
      <c r="A11" s="9" t="s">
        <v>1835</v>
      </c>
      <c r="B11" s="9" t="s">
        <v>72</v>
      </c>
      <c r="C11" s="9" t="s">
        <v>1836</v>
      </c>
      <c r="D11" s="9" t="s">
        <v>1837</v>
      </c>
      <c r="E11" s="9" t="s">
        <v>1838</v>
      </c>
      <c r="F11" s="9" t="s">
        <v>1839</v>
      </c>
      <c r="G11" s="9" t="s">
        <v>1840</v>
      </c>
      <c r="H11" s="9" t="s">
        <v>94</v>
      </c>
      <c r="I11" s="9" t="s">
        <v>1841</v>
      </c>
      <c r="J11" s="9" t="s">
        <v>1842</v>
      </c>
      <c r="K11" s="9" t="s">
        <v>1843</v>
      </c>
      <c r="L11" s="9" t="s">
        <v>1844</v>
      </c>
      <c r="M11" s="9" t="s">
        <v>1845</v>
      </c>
      <c r="N11" s="9" t="s">
        <v>1846</v>
      </c>
      <c r="O11" s="10" t="s">
        <v>1847</v>
      </c>
      <c r="P11" s="10" t="s">
        <v>1848</v>
      </c>
      <c r="Q11" s="9" t="s">
        <v>48</v>
      </c>
      <c r="R11" s="9"/>
      <c r="S11" s="9" t="s">
        <v>48</v>
      </c>
      <c r="T11" s="9"/>
      <c r="U11" s="10" t="s">
        <v>1849</v>
      </c>
      <c r="V11" s="9" t="s">
        <v>1850</v>
      </c>
      <c r="W11" s="9" t="s">
        <v>1851</v>
      </c>
      <c r="X11" s="9">
        <v>20</v>
      </c>
      <c r="Y11" s="9">
        <v>1</v>
      </c>
      <c r="Z11" s="9">
        <v>7</v>
      </c>
      <c r="AA11" s="9">
        <v>3</v>
      </c>
      <c r="AB11" s="9">
        <v>4</v>
      </c>
      <c r="AC11" s="9">
        <f t="shared" si="0"/>
        <v>5</v>
      </c>
      <c r="AD11" s="9">
        <f t="shared" si="1"/>
        <v>5</v>
      </c>
      <c r="AE11" s="9">
        <f t="shared" si="2"/>
        <v>45</v>
      </c>
      <c r="AF11" s="9" t="s">
        <v>355</v>
      </c>
    </row>
    <row r="12" spans="1:32" x14ac:dyDescent="0.2">
      <c r="A12" s="7" t="s">
        <v>1097</v>
      </c>
      <c r="B12" s="7" t="s">
        <v>55</v>
      </c>
      <c r="C12" s="7" t="s">
        <v>1098</v>
      </c>
      <c r="D12" s="7" t="s">
        <v>1099</v>
      </c>
      <c r="E12" s="7" t="s">
        <v>1100</v>
      </c>
      <c r="F12" s="7" t="s">
        <v>1101</v>
      </c>
      <c r="G12" s="7" t="s">
        <v>1102</v>
      </c>
      <c r="H12" s="7" t="s">
        <v>39</v>
      </c>
      <c r="I12" s="7" t="s">
        <v>1103</v>
      </c>
      <c r="J12" s="7" t="s">
        <v>1104</v>
      </c>
      <c r="K12" s="7" t="s">
        <v>1105</v>
      </c>
      <c r="L12" s="7" t="s">
        <v>1106</v>
      </c>
      <c r="M12" s="7" t="s">
        <v>1107</v>
      </c>
      <c r="N12" s="7" t="s">
        <v>1108</v>
      </c>
      <c r="O12" s="8" t="s">
        <v>1109</v>
      </c>
      <c r="P12" s="8" t="s">
        <v>1110</v>
      </c>
      <c r="Q12" s="7" t="s">
        <v>48</v>
      </c>
      <c r="R12" s="7"/>
      <c r="S12" s="7" t="s">
        <v>48</v>
      </c>
      <c r="T12" s="7"/>
      <c r="U12" s="8" t="s">
        <v>1111</v>
      </c>
      <c r="V12" s="7" t="s">
        <v>1112</v>
      </c>
      <c r="W12" s="7" t="s">
        <v>1112</v>
      </c>
      <c r="X12" s="7">
        <v>20</v>
      </c>
      <c r="Y12" s="7">
        <v>0</v>
      </c>
      <c r="Z12" s="7">
        <v>5</v>
      </c>
      <c r="AA12" s="7">
        <v>2</v>
      </c>
      <c r="AB12" s="7">
        <v>6</v>
      </c>
      <c r="AC12" s="7">
        <f t="shared" si="0"/>
        <v>0</v>
      </c>
      <c r="AD12" s="7">
        <f t="shared" si="1"/>
        <v>0</v>
      </c>
      <c r="AE12" s="7">
        <f t="shared" si="2"/>
        <v>33</v>
      </c>
      <c r="AF12" s="7" t="s">
        <v>1064</v>
      </c>
    </row>
    <row r="13" spans="1:32" x14ac:dyDescent="0.2">
      <c r="A13" s="7" t="s">
        <v>812</v>
      </c>
      <c r="B13" s="7" t="s">
        <v>55</v>
      </c>
      <c r="C13" s="7" t="s">
        <v>813</v>
      </c>
      <c r="D13" s="7" t="s">
        <v>814</v>
      </c>
      <c r="E13" s="7" t="s">
        <v>815</v>
      </c>
      <c r="F13" s="7" t="s">
        <v>816</v>
      </c>
      <c r="G13" s="7" t="s">
        <v>817</v>
      </c>
      <c r="H13" s="7" t="s">
        <v>94</v>
      </c>
      <c r="I13" s="7" t="s">
        <v>818</v>
      </c>
      <c r="J13" s="7" t="s">
        <v>819</v>
      </c>
      <c r="K13" s="7" t="s">
        <v>820</v>
      </c>
      <c r="L13" s="7" t="s">
        <v>821</v>
      </c>
      <c r="M13" s="7" t="s">
        <v>822</v>
      </c>
      <c r="N13" s="7" t="s">
        <v>823</v>
      </c>
      <c r="O13" s="8" t="s">
        <v>824</v>
      </c>
      <c r="P13" s="8" t="s">
        <v>825</v>
      </c>
      <c r="Q13" s="7" t="s">
        <v>48</v>
      </c>
      <c r="R13" s="7"/>
      <c r="S13" s="7" t="s">
        <v>48</v>
      </c>
      <c r="T13" s="7"/>
      <c r="U13" s="8" t="s">
        <v>826</v>
      </c>
      <c r="V13" s="7" t="s">
        <v>827</v>
      </c>
      <c r="W13" s="7"/>
      <c r="X13" s="7">
        <v>20</v>
      </c>
      <c r="Y13" s="7"/>
      <c r="Z13" s="7"/>
      <c r="AA13" s="7"/>
      <c r="AB13" s="7"/>
      <c r="AC13" s="7">
        <f t="shared" si="0"/>
        <v>0</v>
      </c>
      <c r="AD13" s="7">
        <f t="shared" si="1"/>
        <v>5</v>
      </c>
      <c r="AE13" s="7">
        <f t="shared" si="2"/>
        <v>25</v>
      </c>
      <c r="AF13" s="7"/>
    </row>
    <row r="14" spans="1:32" x14ac:dyDescent="0.2">
      <c r="A14" s="7" t="s">
        <v>917</v>
      </c>
      <c r="B14" s="7" t="s">
        <v>239</v>
      </c>
      <c r="C14" s="7" t="s">
        <v>918</v>
      </c>
      <c r="D14" s="7" t="s">
        <v>919</v>
      </c>
      <c r="E14" s="7" t="s">
        <v>920</v>
      </c>
      <c r="F14" s="7" t="s">
        <v>921</v>
      </c>
      <c r="G14" s="7" t="s">
        <v>922</v>
      </c>
      <c r="H14" s="7" t="s">
        <v>39</v>
      </c>
      <c r="I14" s="7" t="s">
        <v>923</v>
      </c>
      <c r="J14" s="7" t="s">
        <v>924</v>
      </c>
      <c r="K14" s="7" t="s">
        <v>925</v>
      </c>
      <c r="L14" s="7" t="s">
        <v>926</v>
      </c>
      <c r="M14" s="7" t="s">
        <v>927</v>
      </c>
      <c r="N14" s="7" t="s">
        <v>928</v>
      </c>
      <c r="O14" s="8" t="s">
        <v>929</v>
      </c>
      <c r="P14" s="8" t="s">
        <v>930</v>
      </c>
      <c r="Q14" s="7" t="s">
        <v>48</v>
      </c>
      <c r="R14" s="7"/>
      <c r="S14" s="7" t="s">
        <v>48</v>
      </c>
      <c r="T14" s="7" t="s">
        <v>931</v>
      </c>
      <c r="U14" s="8" t="s">
        <v>932</v>
      </c>
      <c r="V14" s="7" t="s">
        <v>933</v>
      </c>
      <c r="W14" s="7"/>
      <c r="X14" s="7">
        <v>20</v>
      </c>
      <c r="Y14" s="7"/>
      <c r="Z14" s="7"/>
      <c r="AA14" s="7"/>
      <c r="AB14" s="7"/>
      <c r="AC14" s="7">
        <f t="shared" si="0"/>
        <v>5</v>
      </c>
      <c r="AD14" s="7">
        <f t="shared" si="1"/>
        <v>0</v>
      </c>
      <c r="AE14" s="7">
        <f t="shared" si="2"/>
        <v>25</v>
      </c>
      <c r="AF14" s="7"/>
    </row>
    <row r="15" spans="1:32" x14ac:dyDescent="0.2">
      <c r="A15" s="11" t="s">
        <v>1001</v>
      </c>
      <c r="B15" s="11" t="s">
        <v>106</v>
      </c>
      <c r="C15" s="11" t="s">
        <v>1002</v>
      </c>
      <c r="D15" s="11" t="s">
        <v>1003</v>
      </c>
      <c r="E15" s="11" t="s">
        <v>1004</v>
      </c>
      <c r="F15" s="11" t="s">
        <v>1005</v>
      </c>
      <c r="G15" s="11" t="s">
        <v>1006</v>
      </c>
      <c r="H15" s="11" t="s">
        <v>39</v>
      </c>
      <c r="I15" s="11" t="s">
        <v>1007</v>
      </c>
      <c r="J15" s="11" t="s">
        <v>1008</v>
      </c>
      <c r="K15" s="11" t="s">
        <v>1009</v>
      </c>
      <c r="L15" s="11" t="s">
        <v>1010</v>
      </c>
      <c r="M15" s="11" t="s">
        <v>1011</v>
      </c>
      <c r="N15" s="11" t="s">
        <v>1012</v>
      </c>
      <c r="O15" s="12" t="s">
        <v>1013</v>
      </c>
      <c r="P15" s="12" t="s">
        <v>1014</v>
      </c>
      <c r="Q15" s="11" t="s">
        <v>48</v>
      </c>
      <c r="R15" s="11"/>
      <c r="S15" s="11" t="s">
        <v>48</v>
      </c>
      <c r="T15" s="11"/>
      <c r="U15" s="12" t="s">
        <v>1015</v>
      </c>
      <c r="V15" s="11" t="s">
        <v>1016</v>
      </c>
      <c r="W15" s="11"/>
      <c r="X15" s="11">
        <v>20</v>
      </c>
      <c r="Y15" s="11"/>
      <c r="Z15" s="11"/>
      <c r="AA15" s="11"/>
      <c r="AB15" s="11"/>
      <c r="AC15" s="11">
        <f t="shared" si="0"/>
        <v>5</v>
      </c>
      <c r="AD15" s="11">
        <f t="shared" si="1"/>
        <v>0</v>
      </c>
      <c r="AE15" s="11">
        <f t="shared" si="2"/>
        <v>25</v>
      </c>
      <c r="AF15" s="11"/>
    </row>
    <row r="16" spans="1:32" x14ac:dyDescent="0.2">
      <c r="A16" s="11" t="s">
        <v>1419</v>
      </c>
      <c r="B16" s="11" t="s">
        <v>72</v>
      </c>
      <c r="C16" s="11" t="s">
        <v>1420</v>
      </c>
      <c r="D16" s="11" t="s">
        <v>1421</v>
      </c>
      <c r="E16" s="11" t="s">
        <v>1422</v>
      </c>
      <c r="F16" s="11" t="s">
        <v>1423</v>
      </c>
      <c r="G16" s="11" t="s">
        <v>1424</v>
      </c>
      <c r="H16" s="11" t="s">
        <v>39</v>
      </c>
      <c r="I16" s="11" t="s">
        <v>1425</v>
      </c>
      <c r="J16" s="11" t="s">
        <v>1426</v>
      </c>
      <c r="K16" s="11" t="s">
        <v>1427</v>
      </c>
      <c r="L16" s="11" t="s">
        <v>1428</v>
      </c>
      <c r="M16" s="11" t="s">
        <v>1429</v>
      </c>
      <c r="N16" s="11" t="s">
        <v>1430</v>
      </c>
      <c r="O16" s="12" t="s">
        <v>1431</v>
      </c>
      <c r="P16" s="12" t="s">
        <v>1432</v>
      </c>
      <c r="Q16" s="11" t="s">
        <v>48</v>
      </c>
      <c r="R16" s="11" t="s">
        <v>1433</v>
      </c>
      <c r="S16" s="11" t="s">
        <v>48</v>
      </c>
      <c r="T16" s="11" t="s">
        <v>1433</v>
      </c>
      <c r="U16" s="12" t="s">
        <v>1434</v>
      </c>
      <c r="V16" s="11" t="s">
        <v>1435</v>
      </c>
      <c r="W16" s="11"/>
      <c r="X16" s="11">
        <v>20</v>
      </c>
      <c r="Y16" s="11"/>
      <c r="Z16" s="11"/>
      <c r="AA16" s="11"/>
      <c r="AB16" s="11"/>
      <c r="AC16" s="11">
        <f t="shared" si="0"/>
        <v>5</v>
      </c>
      <c r="AD16" s="11">
        <f t="shared" si="1"/>
        <v>0</v>
      </c>
      <c r="AE16" s="11">
        <f t="shared" si="2"/>
        <v>25</v>
      </c>
      <c r="AF16" s="11"/>
    </row>
    <row r="17" spans="1:32" x14ac:dyDescent="0.2">
      <c r="A17" s="7" t="s">
        <v>536</v>
      </c>
      <c r="B17" s="7" t="s">
        <v>72</v>
      </c>
      <c r="C17" s="7" t="s">
        <v>537</v>
      </c>
      <c r="D17" s="7" t="s">
        <v>538</v>
      </c>
      <c r="E17" s="7" t="s">
        <v>539</v>
      </c>
      <c r="F17" s="7" t="s">
        <v>540</v>
      </c>
      <c r="G17" s="7" t="s">
        <v>541</v>
      </c>
      <c r="H17" s="7" t="s">
        <v>94</v>
      </c>
      <c r="I17" s="7" t="s">
        <v>542</v>
      </c>
      <c r="J17" s="7" t="s">
        <v>543</v>
      </c>
      <c r="K17" s="7" t="s">
        <v>544</v>
      </c>
      <c r="L17" s="7" t="s">
        <v>545</v>
      </c>
      <c r="M17" s="7" t="s">
        <v>546</v>
      </c>
      <c r="N17" s="7" t="s">
        <v>547</v>
      </c>
      <c r="O17" s="8" t="s">
        <v>548</v>
      </c>
      <c r="P17" s="8" t="s">
        <v>549</v>
      </c>
      <c r="Q17" s="7" t="s">
        <v>48</v>
      </c>
      <c r="R17" s="7" t="s">
        <v>550</v>
      </c>
      <c r="S17" s="7" t="s">
        <v>49</v>
      </c>
      <c r="T17" s="7"/>
      <c r="U17" s="8" t="s">
        <v>551</v>
      </c>
      <c r="V17" s="7" t="s">
        <v>552</v>
      </c>
      <c r="W17" s="7" t="s">
        <v>553</v>
      </c>
      <c r="X17" s="7">
        <v>15</v>
      </c>
      <c r="Y17" s="7">
        <v>0</v>
      </c>
      <c r="Z17" s="7">
        <v>9</v>
      </c>
      <c r="AA17" s="7">
        <v>4</v>
      </c>
      <c r="AB17" s="7">
        <v>2</v>
      </c>
      <c r="AC17" s="7">
        <f t="shared" si="0"/>
        <v>5</v>
      </c>
      <c r="AD17" s="7">
        <f t="shared" si="1"/>
        <v>5</v>
      </c>
      <c r="AE17" s="7">
        <f t="shared" si="2"/>
        <v>40</v>
      </c>
      <c r="AF17" s="7" t="s">
        <v>355</v>
      </c>
    </row>
    <row r="18" spans="1:32" x14ac:dyDescent="0.2">
      <c r="A18" s="9" t="s">
        <v>1723</v>
      </c>
      <c r="B18" s="9" t="s">
        <v>106</v>
      </c>
      <c r="C18" s="9" t="s">
        <v>1724</v>
      </c>
      <c r="D18" s="9" t="s">
        <v>1725</v>
      </c>
      <c r="E18" s="9" t="s">
        <v>1726</v>
      </c>
      <c r="F18" s="9" t="s">
        <v>1727</v>
      </c>
      <c r="G18" s="9" t="s">
        <v>1728</v>
      </c>
      <c r="H18" s="9" t="s">
        <v>39</v>
      </c>
      <c r="I18" s="9" t="s">
        <v>1729</v>
      </c>
      <c r="J18" s="9" t="s">
        <v>1730</v>
      </c>
      <c r="K18" s="9" t="s">
        <v>1731</v>
      </c>
      <c r="L18" s="9" t="s">
        <v>1732</v>
      </c>
      <c r="M18" s="9" t="s">
        <v>1733</v>
      </c>
      <c r="N18" s="9" t="s">
        <v>1734</v>
      </c>
      <c r="O18" s="10" t="s">
        <v>1735</v>
      </c>
      <c r="P18" s="10" t="s">
        <v>1736</v>
      </c>
      <c r="Q18" s="9" t="s">
        <v>48</v>
      </c>
      <c r="R18" s="9"/>
      <c r="S18" s="9" t="s">
        <v>48</v>
      </c>
      <c r="T18" s="9"/>
      <c r="U18" s="10" t="s">
        <v>1737</v>
      </c>
      <c r="V18" s="9" t="s">
        <v>1738</v>
      </c>
      <c r="W18" s="9" t="s">
        <v>1738</v>
      </c>
      <c r="X18" s="9">
        <v>15</v>
      </c>
      <c r="Y18" s="9">
        <v>4</v>
      </c>
      <c r="Z18" s="9">
        <v>7</v>
      </c>
      <c r="AA18" s="9">
        <v>4</v>
      </c>
      <c r="AB18" s="9">
        <v>4</v>
      </c>
      <c r="AC18" s="9">
        <f t="shared" si="0"/>
        <v>5</v>
      </c>
      <c r="AD18" s="9">
        <f t="shared" si="1"/>
        <v>0</v>
      </c>
      <c r="AE18" s="9">
        <f t="shared" si="2"/>
        <v>39</v>
      </c>
      <c r="AF18" s="9" t="s">
        <v>355</v>
      </c>
    </row>
    <row r="19" spans="1:32" x14ac:dyDescent="0.2">
      <c r="A19" s="7" t="s">
        <v>635</v>
      </c>
      <c r="B19" s="7" t="s">
        <v>106</v>
      </c>
      <c r="C19" s="7" t="s">
        <v>636</v>
      </c>
      <c r="D19" s="7" t="s">
        <v>637</v>
      </c>
      <c r="E19" s="7" t="s">
        <v>638</v>
      </c>
      <c r="F19" s="7" t="s">
        <v>639</v>
      </c>
      <c r="G19" s="7" t="s">
        <v>640</v>
      </c>
      <c r="H19" s="7" t="s">
        <v>94</v>
      </c>
      <c r="I19" s="7" t="s">
        <v>641</v>
      </c>
      <c r="J19" s="7" t="s">
        <v>642</v>
      </c>
      <c r="K19" s="7" t="s">
        <v>643</v>
      </c>
      <c r="L19" s="7" t="s">
        <v>644</v>
      </c>
      <c r="M19" s="7" t="s">
        <v>645</v>
      </c>
      <c r="N19" s="7" t="s">
        <v>646</v>
      </c>
      <c r="O19" s="8" t="s">
        <v>647</v>
      </c>
      <c r="P19" s="8" t="s">
        <v>648</v>
      </c>
      <c r="Q19" s="7" t="s">
        <v>48</v>
      </c>
      <c r="R19" s="7"/>
      <c r="S19" s="7" t="s">
        <v>49</v>
      </c>
      <c r="T19" s="7"/>
      <c r="U19" s="8" t="s">
        <v>649</v>
      </c>
      <c r="V19" s="7" t="s">
        <v>650</v>
      </c>
      <c r="W19" s="7" t="s">
        <v>650</v>
      </c>
      <c r="X19" s="7">
        <v>15</v>
      </c>
      <c r="Y19" s="7">
        <v>1</v>
      </c>
      <c r="Z19" s="7">
        <v>7</v>
      </c>
      <c r="AA19" s="7">
        <v>3</v>
      </c>
      <c r="AB19" s="7">
        <v>2</v>
      </c>
      <c r="AC19" s="7">
        <f t="shared" si="0"/>
        <v>5</v>
      </c>
      <c r="AD19" s="7">
        <f t="shared" si="1"/>
        <v>5</v>
      </c>
      <c r="AE19" s="7">
        <f t="shared" si="2"/>
        <v>38</v>
      </c>
      <c r="AF19" s="7" t="s">
        <v>355</v>
      </c>
    </row>
    <row r="20" spans="1:32" x14ac:dyDescent="0.2">
      <c r="A20" s="7" t="s">
        <v>1275</v>
      </c>
      <c r="B20" s="7" t="s">
        <v>72</v>
      </c>
      <c r="C20" s="7" t="s">
        <v>1276</v>
      </c>
      <c r="D20" s="7" t="s">
        <v>556</v>
      </c>
      <c r="E20" s="7" t="s">
        <v>1277</v>
      </c>
      <c r="F20" s="7" t="s">
        <v>1278</v>
      </c>
      <c r="G20" s="7" t="s">
        <v>1279</v>
      </c>
      <c r="H20" s="7" t="s">
        <v>39</v>
      </c>
      <c r="I20" s="7" t="s">
        <v>1280</v>
      </c>
      <c r="J20" s="7" t="s">
        <v>1281</v>
      </c>
      <c r="K20" s="7" t="s">
        <v>1282</v>
      </c>
      <c r="L20" s="7" t="s">
        <v>1283</v>
      </c>
      <c r="M20" s="7" t="s">
        <v>1284</v>
      </c>
      <c r="N20" s="7" t="s">
        <v>1285</v>
      </c>
      <c r="O20" s="8" t="s">
        <v>1286</v>
      </c>
      <c r="P20" s="8" t="s">
        <v>1287</v>
      </c>
      <c r="Q20" s="7" t="s">
        <v>48</v>
      </c>
      <c r="R20" s="7"/>
      <c r="S20" s="7" t="s">
        <v>48</v>
      </c>
      <c r="T20" s="7"/>
      <c r="U20" s="8" t="s">
        <v>1288</v>
      </c>
      <c r="V20" s="7" t="s">
        <v>570</v>
      </c>
      <c r="W20" s="7" t="s">
        <v>570</v>
      </c>
      <c r="X20" s="7">
        <v>15</v>
      </c>
      <c r="Y20" s="7">
        <v>1</v>
      </c>
      <c r="Z20" s="7">
        <v>8</v>
      </c>
      <c r="AA20" s="7">
        <v>5</v>
      </c>
      <c r="AB20" s="7">
        <v>4</v>
      </c>
      <c r="AC20" s="7">
        <f t="shared" si="0"/>
        <v>5</v>
      </c>
      <c r="AD20" s="7">
        <f t="shared" si="1"/>
        <v>0</v>
      </c>
      <c r="AE20" s="7">
        <f t="shared" si="2"/>
        <v>38</v>
      </c>
      <c r="AF20" s="7" t="s">
        <v>355</v>
      </c>
    </row>
    <row r="21" spans="1:32" ht="15.75" customHeight="1" x14ac:dyDescent="0.2">
      <c r="A21" s="13" t="s">
        <v>951</v>
      </c>
      <c r="B21" s="13" t="s">
        <v>55</v>
      </c>
      <c r="C21" s="13" t="s">
        <v>952</v>
      </c>
      <c r="D21" s="13" t="s">
        <v>953</v>
      </c>
      <c r="E21" s="13" t="s">
        <v>954</v>
      </c>
      <c r="F21" s="13" t="s">
        <v>955</v>
      </c>
      <c r="G21" s="13" t="s">
        <v>956</v>
      </c>
      <c r="H21" s="13" t="s">
        <v>39</v>
      </c>
      <c r="I21" s="13" t="s">
        <v>957</v>
      </c>
      <c r="J21" s="13" t="s">
        <v>958</v>
      </c>
      <c r="K21" s="13" t="s">
        <v>959</v>
      </c>
      <c r="L21" s="13" t="s">
        <v>960</v>
      </c>
      <c r="M21" s="13" t="s">
        <v>961</v>
      </c>
      <c r="N21" s="13" t="s">
        <v>962</v>
      </c>
      <c r="O21" s="14" t="s">
        <v>963</v>
      </c>
      <c r="P21" s="14" t="s">
        <v>964</v>
      </c>
      <c r="Q21" s="13" t="s">
        <v>49</v>
      </c>
      <c r="R21" s="13"/>
      <c r="S21" s="13" t="s">
        <v>49</v>
      </c>
      <c r="T21" s="13"/>
      <c r="U21" s="14" t="s">
        <v>965</v>
      </c>
      <c r="V21" s="13" t="s">
        <v>966</v>
      </c>
      <c r="W21" s="13" t="s">
        <v>966</v>
      </c>
      <c r="X21" s="13">
        <v>15</v>
      </c>
      <c r="Y21" s="13">
        <v>0</v>
      </c>
      <c r="Z21" s="13">
        <v>5</v>
      </c>
      <c r="AA21" s="13">
        <v>3</v>
      </c>
      <c r="AB21" s="13">
        <v>2</v>
      </c>
      <c r="AC21" s="13">
        <f t="shared" si="0"/>
        <v>0</v>
      </c>
      <c r="AD21" s="13">
        <f t="shared" si="1"/>
        <v>0</v>
      </c>
      <c r="AE21" s="13">
        <f t="shared" si="2"/>
        <v>25</v>
      </c>
      <c r="AF21" s="13" t="s">
        <v>535</v>
      </c>
    </row>
    <row r="22" spans="1:32" ht="15.75" customHeight="1" x14ac:dyDescent="0.2">
      <c r="A22" s="13" t="s">
        <v>780</v>
      </c>
      <c r="B22" s="13" t="s">
        <v>106</v>
      </c>
      <c r="C22" s="13" t="s">
        <v>781</v>
      </c>
      <c r="D22" s="13" t="s">
        <v>782</v>
      </c>
      <c r="E22" s="13" t="s">
        <v>783</v>
      </c>
      <c r="F22" s="13" t="s">
        <v>784</v>
      </c>
      <c r="G22" s="13" t="s">
        <v>785</v>
      </c>
      <c r="H22" s="13" t="s">
        <v>39</v>
      </c>
      <c r="I22" s="13" t="s">
        <v>786</v>
      </c>
      <c r="J22" s="13" t="s">
        <v>787</v>
      </c>
      <c r="K22" s="13" t="s">
        <v>788</v>
      </c>
      <c r="L22" s="13" t="s">
        <v>789</v>
      </c>
      <c r="M22" s="13" t="s">
        <v>790</v>
      </c>
      <c r="N22" s="13" t="s">
        <v>791</v>
      </c>
      <c r="O22" s="14" t="s">
        <v>792</v>
      </c>
      <c r="P22" s="14" t="s">
        <v>793</v>
      </c>
      <c r="Q22" s="13" t="s">
        <v>48</v>
      </c>
      <c r="R22" s="13"/>
      <c r="S22" s="13" t="s">
        <v>48</v>
      </c>
      <c r="T22" s="13"/>
      <c r="U22" s="14" t="s">
        <v>794</v>
      </c>
      <c r="V22" s="13" t="s">
        <v>795</v>
      </c>
      <c r="W22" s="13" t="s">
        <v>795</v>
      </c>
      <c r="X22" s="13">
        <v>15</v>
      </c>
      <c r="Y22" s="13">
        <v>0</v>
      </c>
      <c r="Z22" s="13">
        <v>7</v>
      </c>
      <c r="AA22" s="13">
        <v>3</v>
      </c>
      <c r="AB22" s="13">
        <v>4</v>
      </c>
      <c r="AC22" s="13">
        <f t="shared" si="0"/>
        <v>5</v>
      </c>
      <c r="AD22" s="13">
        <f t="shared" si="1"/>
        <v>0</v>
      </c>
      <c r="AE22" s="13">
        <f t="shared" si="2"/>
        <v>34</v>
      </c>
      <c r="AF22" s="13" t="s">
        <v>355</v>
      </c>
    </row>
    <row r="23" spans="1:32" ht="15.75" customHeight="1" x14ac:dyDescent="0.2">
      <c r="A23" s="7" t="s">
        <v>934</v>
      </c>
      <c r="B23" s="7" t="s">
        <v>72</v>
      </c>
      <c r="C23" s="7" t="s">
        <v>935</v>
      </c>
      <c r="D23" s="7" t="s">
        <v>936</v>
      </c>
      <c r="E23" s="7" t="s">
        <v>937</v>
      </c>
      <c r="F23" s="7" t="s">
        <v>938</v>
      </c>
      <c r="G23" s="7" t="s">
        <v>939</v>
      </c>
      <c r="H23" s="7" t="s">
        <v>39</v>
      </c>
      <c r="I23" s="7" t="s">
        <v>940</v>
      </c>
      <c r="J23" s="7" t="s">
        <v>941</v>
      </c>
      <c r="K23" s="7" t="s">
        <v>942</v>
      </c>
      <c r="L23" s="7" t="s">
        <v>943</v>
      </c>
      <c r="M23" s="7" t="s">
        <v>944</v>
      </c>
      <c r="N23" s="7" t="s">
        <v>945</v>
      </c>
      <c r="O23" s="8" t="s">
        <v>946</v>
      </c>
      <c r="P23" s="8" t="s">
        <v>947</v>
      </c>
      <c r="Q23" s="7" t="s">
        <v>48</v>
      </c>
      <c r="R23" s="7" t="s">
        <v>948</v>
      </c>
      <c r="S23" s="7" t="s">
        <v>48</v>
      </c>
      <c r="T23" s="7"/>
      <c r="U23" s="8" t="s">
        <v>949</v>
      </c>
      <c r="V23" s="7" t="s">
        <v>950</v>
      </c>
      <c r="W23" s="7" t="s">
        <v>950</v>
      </c>
      <c r="X23" s="7">
        <v>15</v>
      </c>
      <c r="Y23" s="7">
        <v>1</v>
      </c>
      <c r="Z23" s="7">
        <v>5</v>
      </c>
      <c r="AA23" s="7">
        <v>4</v>
      </c>
      <c r="AB23" s="7">
        <v>4</v>
      </c>
      <c r="AC23" s="7">
        <f t="shared" si="0"/>
        <v>5</v>
      </c>
      <c r="AD23" s="7">
        <f t="shared" si="1"/>
        <v>0</v>
      </c>
      <c r="AE23" s="7">
        <f t="shared" si="2"/>
        <v>34</v>
      </c>
      <c r="AF23" s="7" t="s">
        <v>355</v>
      </c>
    </row>
    <row r="24" spans="1:32" ht="15.75" customHeight="1" x14ac:dyDescent="0.2">
      <c r="A24" s="13" t="s">
        <v>1401</v>
      </c>
      <c r="B24" s="13" t="s">
        <v>106</v>
      </c>
      <c r="C24" s="13" t="s">
        <v>1402</v>
      </c>
      <c r="D24" s="13" t="s">
        <v>1403</v>
      </c>
      <c r="E24" s="13" t="s">
        <v>1404</v>
      </c>
      <c r="F24" s="13" t="s">
        <v>1405</v>
      </c>
      <c r="G24" s="13" t="s">
        <v>1406</v>
      </c>
      <c r="H24" s="13" t="s">
        <v>39</v>
      </c>
      <c r="I24" s="13" t="s">
        <v>1407</v>
      </c>
      <c r="J24" s="13" t="s">
        <v>1408</v>
      </c>
      <c r="K24" s="13" t="s">
        <v>1409</v>
      </c>
      <c r="L24" s="13" t="s">
        <v>1410</v>
      </c>
      <c r="M24" s="13" t="s">
        <v>1411</v>
      </c>
      <c r="N24" s="13" t="s">
        <v>1412</v>
      </c>
      <c r="O24" s="14" t="s">
        <v>1413</v>
      </c>
      <c r="P24" s="14" t="s">
        <v>1414</v>
      </c>
      <c r="Q24" s="13" t="s">
        <v>48</v>
      </c>
      <c r="R24" s="13" t="s">
        <v>1415</v>
      </c>
      <c r="S24" s="13" t="s">
        <v>49</v>
      </c>
      <c r="T24" s="13" t="s">
        <v>1416</v>
      </c>
      <c r="U24" s="14" t="s">
        <v>1417</v>
      </c>
      <c r="V24" s="13" t="s">
        <v>1418</v>
      </c>
      <c r="W24" s="13" t="s">
        <v>1418</v>
      </c>
      <c r="X24" s="13">
        <v>15</v>
      </c>
      <c r="Y24" s="13">
        <v>0</v>
      </c>
      <c r="Z24" s="13">
        <v>5</v>
      </c>
      <c r="AA24" s="13">
        <v>3</v>
      </c>
      <c r="AB24" s="13">
        <v>6</v>
      </c>
      <c r="AC24" s="13">
        <f t="shared" si="0"/>
        <v>5</v>
      </c>
      <c r="AD24" s="13">
        <f t="shared" si="1"/>
        <v>0</v>
      </c>
      <c r="AE24" s="13">
        <f t="shared" si="2"/>
        <v>34</v>
      </c>
      <c r="AF24" s="13" t="s">
        <v>1064</v>
      </c>
    </row>
    <row r="25" spans="1:32" ht="15.75" customHeight="1" x14ac:dyDescent="0.2">
      <c r="A25" s="13" t="s">
        <v>1739</v>
      </c>
      <c r="B25" s="13" t="s">
        <v>55</v>
      </c>
      <c r="C25" s="13" t="s">
        <v>1740</v>
      </c>
      <c r="D25" s="13" t="s">
        <v>1741</v>
      </c>
      <c r="E25" s="13" t="s">
        <v>1742</v>
      </c>
      <c r="F25" s="13" t="s">
        <v>1743</v>
      </c>
      <c r="G25" s="13" t="s">
        <v>1744</v>
      </c>
      <c r="H25" s="13" t="s">
        <v>94</v>
      </c>
      <c r="I25" s="13" t="s">
        <v>850</v>
      </c>
      <c r="J25" s="13" t="s">
        <v>1745</v>
      </c>
      <c r="K25" s="13" t="s">
        <v>1746</v>
      </c>
      <c r="L25" s="13" t="s">
        <v>1747</v>
      </c>
      <c r="M25" s="13" t="s">
        <v>1748</v>
      </c>
      <c r="N25" s="13" t="s">
        <v>1749</v>
      </c>
      <c r="O25" s="14" t="s">
        <v>1750</v>
      </c>
      <c r="P25" s="14" t="s">
        <v>1751</v>
      </c>
      <c r="Q25" s="13" t="s">
        <v>48</v>
      </c>
      <c r="R25" s="13" t="s">
        <v>48</v>
      </c>
      <c r="S25" s="13" t="s">
        <v>48</v>
      </c>
      <c r="T25" s="13" t="s">
        <v>48</v>
      </c>
      <c r="U25" s="14" t="s">
        <v>1752</v>
      </c>
      <c r="V25" s="13" t="s">
        <v>1753</v>
      </c>
      <c r="W25" s="13" t="s">
        <v>1754</v>
      </c>
      <c r="X25" s="13">
        <v>15</v>
      </c>
      <c r="Y25" s="13">
        <v>1</v>
      </c>
      <c r="Z25" s="13">
        <v>6</v>
      </c>
      <c r="AA25" s="13">
        <v>3</v>
      </c>
      <c r="AB25" s="13">
        <v>4</v>
      </c>
      <c r="AC25" s="13">
        <f t="shared" si="0"/>
        <v>0</v>
      </c>
      <c r="AD25" s="13">
        <f t="shared" si="1"/>
        <v>5</v>
      </c>
      <c r="AE25" s="13">
        <f t="shared" si="2"/>
        <v>34</v>
      </c>
      <c r="AF25" s="13" t="s">
        <v>355</v>
      </c>
    </row>
    <row r="26" spans="1:32" ht="15.75" customHeight="1" x14ac:dyDescent="0.2">
      <c r="A26" s="9" t="s">
        <v>901</v>
      </c>
      <c r="B26" s="9" t="s">
        <v>106</v>
      </c>
      <c r="C26" s="9" t="s">
        <v>902</v>
      </c>
      <c r="D26" s="9" t="s">
        <v>903</v>
      </c>
      <c r="E26" s="9" t="s">
        <v>904</v>
      </c>
      <c r="F26" s="9" t="s">
        <v>905</v>
      </c>
      <c r="G26" s="9" t="s">
        <v>906</v>
      </c>
      <c r="H26" s="9" t="s">
        <v>39</v>
      </c>
      <c r="I26" s="9" t="s">
        <v>907</v>
      </c>
      <c r="J26" s="9" t="s">
        <v>908</v>
      </c>
      <c r="K26" s="9" t="s">
        <v>909</v>
      </c>
      <c r="L26" s="9" t="s">
        <v>910</v>
      </c>
      <c r="M26" s="9" t="s">
        <v>911</v>
      </c>
      <c r="N26" s="9" t="s">
        <v>912</v>
      </c>
      <c r="O26" s="10" t="s">
        <v>913</v>
      </c>
      <c r="P26" s="10" t="s">
        <v>914</v>
      </c>
      <c r="Q26" s="9" t="s">
        <v>48</v>
      </c>
      <c r="R26" s="9" t="s">
        <v>48</v>
      </c>
      <c r="S26" s="9" t="s">
        <v>48</v>
      </c>
      <c r="T26" s="9" t="s">
        <v>48</v>
      </c>
      <c r="U26" s="10" t="s">
        <v>915</v>
      </c>
      <c r="V26" s="9" t="s">
        <v>916</v>
      </c>
      <c r="W26" s="9" t="s">
        <v>916</v>
      </c>
      <c r="X26" s="9">
        <v>15</v>
      </c>
      <c r="Y26" s="9">
        <v>0</v>
      </c>
      <c r="Z26" s="9">
        <v>8</v>
      </c>
      <c r="AA26" s="9">
        <v>3</v>
      </c>
      <c r="AB26" s="9">
        <v>2</v>
      </c>
      <c r="AC26" s="9">
        <f t="shared" si="0"/>
        <v>5</v>
      </c>
      <c r="AD26" s="9">
        <f t="shared" si="1"/>
        <v>0</v>
      </c>
      <c r="AE26" s="9">
        <f t="shared" si="2"/>
        <v>33</v>
      </c>
      <c r="AF26" s="9" t="s">
        <v>355</v>
      </c>
    </row>
    <row r="27" spans="1:32" ht="15.75" customHeight="1" x14ac:dyDescent="0.2">
      <c r="A27" s="13" t="s">
        <v>1691</v>
      </c>
      <c r="B27" s="13" t="s">
        <v>55</v>
      </c>
      <c r="C27" s="13" t="s">
        <v>1692</v>
      </c>
      <c r="D27" s="13" t="s">
        <v>340</v>
      </c>
      <c r="E27" s="13" t="s">
        <v>1693</v>
      </c>
      <c r="F27" s="13" t="s">
        <v>1694</v>
      </c>
      <c r="G27" s="13" t="s">
        <v>1695</v>
      </c>
      <c r="H27" s="13" t="s">
        <v>39</v>
      </c>
      <c r="I27" s="13" t="s">
        <v>1696</v>
      </c>
      <c r="J27" s="13" t="s">
        <v>1697</v>
      </c>
      <c r="K27" s="13" t="s">
        <v>1698</v>
      </c>
      <c r="L27" s="13" t="s">
        <v>1699</v>
      </c>
      <c r="M27" s="13" t="s">
        <v>1700</v>
      </c>
      <c r="N27" s="13" t="s">
        <v>1701</v>
      </c>
      <c r="O27" s="14" t="s">
        <v>1702</v>
      </c>
      <c r="P27" s="14" t="s">
        <v>1703</v>
      </c>
      <c r="Q27" s="13" t="s">
        <v>48</v>
      </c>
      <c r="R27" s="13"/>
      <c r="S27" s="13" t="s">
        <v>49</v>
      </c>
      <c r="T27" s="13"/>
      <c r="U27" s="14" t="s">
        <v>1704</v>
      </c>
      <c r="V27" s="13" t="s">
        <v>1705</v>
      </c>
      <c r="W27" s="13" t="s">
        <v>1706</v>
      </c>
      <c r="X27" s="13">
        <v>15</v>
      </c>
      <c r="Y27" s="13">
        <v>0</v>
      </c>
      <c r="Z27" s="13">
        <v>6</v>
      </c>
      <c r="AA27" s="13">
        <v>3</v>
      </c>
      <c r="AB27" s="13">
        <v>4</v>
      </c>
      <c r="AC27" s="13">
        <f t="shared" si="0"/>
        <v>0</v>
      </c>
      <c r="AD27" s="13">
        <f t="shared" si="1"/>
        <v>0</v>
      </c>
      <c r="AE27" s="13">
        <f t="shared" si="2"/>
        <v>28</v>
      </c>
      <c r="AF27" s="13" t="s">
        <v>535</v>
      </c>
    </row>
    <row r="28" spans="1:32" ht="15.75" customHeight="1" x14ac:dyDescent="0.2">
      <c r="A28" s="13" t="s">
        <v>337</v>
      </c>
      <c r="B28" s="13" t="s">
        <v>338</v>
      </c>
      <c r="C28" s="13" t="s">
        <v>339</v>
      </c>
      <c r="D28" s="13" t="s">
        <v>340</v>
      </c>
      <c r="E28" s="13" t="s">
        <v>341</v>
      </c>
      <c r="F28" s="13" t="s">
        <v>342</v>
      </c>
      <c r="G28" s="13" t="s">
        <v>343</v>
      </c>
      <c r="H28" s="13" t="s">
        <v>39</v>
      </c>
      <c r="I28" s="13" t="s">
        <v>344</v>
      </c>
      <c r="J28" s="13" t="s">
        <v>345</v>
      </c>
      <c r="K28" s="43" t="s">
        <v>346</v>
      </c>
      <c r="L28" s="13" t="s">
        <v>347</v>
      </c>
      <c r="M28" s="13" t="s">
        <v>348</v>
      </c>
      <c r="N28" s="13" t="s">
        <v>349</v>
      </c>
      <c r="O28" s="14" t="s">
        <v>350</v>
      </c>
      <c r="P28" s="14" t="s">
        <v>351</v>
      </c>
      <c r="Q28" s="13" t="s">
        <v>48</v>
      </c>
      <c r="R28" s="13"/>
      <c r="S28" s="13" t="s">
        <v>48</v>
      </c>
      <c r="T28" s="13"/>
      <c r="U28" s="14" t="s">
        <v>352</v>
      </c>
      <c r="V28" s="13" t="s">
        <v>353</v>
      </c>
      <c r="W28" s="13" t="s">
        <v>354</v>
      </c>
      <c r="X28" s="13">
        <v>15</v>
      </c>
      <c r="Y28" s="13">
        <v>0</v>
      </c>
      <c r="Z28" s="13">
        <v>6</v>
      </c>
      <c r="AA28" s="13">
        <v>4</v>
      </c>
      <c r="AB28" s="13">
        <v>2</v>
      </c>
      <c r="AC28" s="13">
        <f t="shared" si="0"/>
        <v>5</v>
      </c>
      <c r="AD28" s="13">
        <f t="shared" si="1"/>
        <v>0</v>
      </c>
      <c r="AE28" s="13">
        <f t="shared" si="2"/>
        <v>32</v>
      </c>
      <c r="AF28" s="13" t="s">
        <v>355</v>
      </c>
    </row>
    <row r="29" spans="1:32" ht="15.75" customHeight="1" x14ac:dyDescent="0.2">
      <c r="A29" s="13" t="s">
        <v>1755</v>
      </c>
      <c r="B29" s="13" t="s">
        <v>1756</v>
      </c>
      <c r="C29" s="13" t="s">
        <v>1757</v>
      </c>
      <c r="D29" s="13" t="s">
        <v>1758</v>
      </c>
      <c r="E29" s="13" t="s">
        <v>1759</v>
      </c>
      <c r="F29" s="13" t="s">
        <v>1760</v>
      </c>
      <c r="G29" s="13" t="s">
        <v>1761</v>
      </c>
      <c r="H29" s="13" t="s">
        <v>94</v>
      </c>
      <c r="I29" s="13" t="s">
        <v>1762</v>
      </c>
      <c r="J29" s="13" t="s">
        <v>1763</v>
      </c>
      <c r="K29" s="13" t="s">
        <v>1764</v>
      </c>
      <c r="L29" s="13" t="s">
        <v>1765</v>
      </c>
      <c r="M29" s="13" t="s">
        <v>1766</v>
      </c>
      <c r="N29" s="13" t="s">
        <v>1767</v>
      </c>
      <c r="O29" s="14" t="s">
        <v>1768</v>
      </c>
      <c r="P29" s="14" t="s">
        <v>1769</v>
      </c>
      <c r="Q29" s="13" t="s">
        <v>48</v>
      </c>
      <c r="R29" s="13"/>
      <c r="S29" s="13" t="s">
        <v>49</v>
      </c>
      <c r="T29" s="13"/>
      <c r="U29" s="14" t="s">
        <v>1770</v>
      </c>
      <c r="V29" s="13" t="s">
        <v>1771</v>
      </c>
      <c r="W29" s="13" t="s">
        <v>1772</v>
      </c>
      <c r="X29" s="13">
        <v>15</v>
      </c>
      <c r="Y29" s="13">
        <v>0</v>
      </c>
      <c r="Z29" s="13">
        <v>6</v>
      </c>
      <c r="AA29" s="13">
        <v>4</v>
      </c>
      <c r="AB29" s="13">
        <v>2</v>
      </c>
      <c r="AC29" s="13">
        <f t="shared" si="0"/>
        <v>5</v>
      </c>
      <c r="AD29" s="13">
        <f t="shared" si="1"/>
        <v>5</v>
      </c>
      <c r="AE29" s="13">
        <f t="shared" si="2"/>
        <v>37</v>
      </c>
      <c r="AF29" s="13" t="s">
        <v>53</v>
      </c>
    </row>
    <row r="30" spans="1:32" ht="15.75" customHeight="1" x14ac:dyDescent="0.2">
      <c r="A30" s="15" t="s">
        <v>1596</v>
      </c>
      <c r="B30" s="15" t="s">
        <v>72</v>
      </c>
      <c r="C30" s="15" t="s">
        <v>1597</v>
      </c>
      <c r="D30" s="15" t="s">
        <v>1598</v>
      </c>
      <c r="E30" s="15" t="s">
        <v>1599</v>
      </c>
      <c r="F30" s="15" t="s">
        <v>1600</v>
      </c>
      <c r="G30" s="15" t="s">
        <v>1601</v>
      </c>
      <c r="H30" s="15" t="s">
        <v>39</v>
      </c>
      <c r="I30" s="15" t="s">
        <v>1602</v>
      </c>
      <c r="J30" s="15" t="s">
        <v>1328</v>
      </c>
      <c r="K30" s="15" t="s">
        <v>1603</v>
      </c>
      <c r="L30" s="15" t="s">
        <v>1604</v>
      </c>
      <c r="M30" s="15" t="s">
        <v>1605</v>
      </c>
      <c r="N30" s="15" t="s">
        <v>1606</v>
      </c>
      <c r="O30" s="16" t="s">
        <v>1607</v>
      </c>
      <c r="P30" s="16" t="s">
        <v>1608</v>
      </c>
      <c r="Q30" s="15" t="s">
        <v>49</v>
      </c>
      <c r="R30" s="15"/>
      <c r="S30" s="15" t="s">
        <v>49</v>
      </c>
      <c r="T30" s="15"/>
      <c r="U30" s="16" t="s">
        <v>1609</v>
      </c>
      <c r="V30" s="15" t="s">
        <v>1610</v>
      </c>
      <c r="W30" s="15" t="s">
        <v>1610</v>
      </c>
      <c r="X30" s="15">
        <v>15</v>
      </c>
      <c r="Y30" s="15">
        <v>1</v>
      </c>
      <c r="Z30" s="15">
        <v>1</v>
      </c>
      <c r="AA30" s="15">
        <v>0</v>
      </c>
      <c r="AB30" s="15">
        <v>4</v>
      </c>
      <c r="AC30" s="15">
        <f t="shared" si="0"/>
        <v>5</v>
      </c>
      <c r="AD30" s="15">
        <f t="shared" si="1"/>
        <v>0</v>
      </c>
      <c r="AE30" s="15">
        <f t="shared" si="2"/>
        <v>26</v>
      </c>
      <c r="AF30" s="15" t="s">
        <v>535</v>
      </c>
    </row>
    <row r="31" spans="1:32" ht="15.75" customHeight="1" x14ac:dyDescent="0.2">
      <c r="A31" s="13" t="s">
        <v>1852</v>
      </c>
      <c r="B31" s="13" t="s">
        <v>1853</v>
      </c>
      <c r="C31" s="13" t="s">
        <v>1854</v>
      </c>
      <c r="D31" s="13" t="s">
        <v>574</v>
      </c>
      <c r="E31" s="13" t="s">
        <v>1855</v>
      </c>
      <c r="F31" s="13" t="s">
        <v>1856</v>
      </c>
      <c r="G31" s="13" t="s">
        <v>1857</v>
      </c>
      <c r="H31" s="13" t="s">
        <v>39</v>
      </c>
      <c r="I31" s="13" t="s">
        <v>1858</v>
      </c>
      <c r="J31" s="13" t="s">
        <v>1859</v>
      </c>
      <c r="K31" s="43" t="s">
        <v>1860</v>
      </c>
      <c r="L31" s="43" t="s">
        <v>1861</v>
      </c>
      <c r="M31" s="43" t="s">
        <v>1862</v>
      </c>
      <c r="N31" s="13" t="s">
        <v>1863</v>
      </c>
      <c r="O31" s="14" t="s">
        <v>1864</v>
      </c>
      <c r="P31" s="14" t="s">
        <v>1865</v>
      </c>
      <c r="Q31" s="13" t="s">
        <v>48</v>
      </c>
      <c r="R31" s="13"/>
      <c r="S31" s="13" t="s">
        <v>49</v>
      </c>
      <c r="T31" s="13"/>
      <c r="U31" s="14" t="s">
        <v>1866</v>
      </c>
      <c r="V31" s="13" t="s">
        <v>1867</v>
      </c>
      <c r="W31" s="13" t="s">
        <v>1868</v>
      </c>
      <c r="X31" s="13">
        <v>15</v>
      </c>
      <c r="Y31" s="13">
        <v>0</v>
      </c>
      <c r="Z31" s="13">
        <v>5</v>
      </c>
      <c r="AA31" s="13">
        <v>2</v>
      </c>
      <c r="AB31" s="13">
        <v>2</v>
      </c>
      <c r="AC31" s="13">
        <f t="shared" si="0"/>
        <v>5</v>
      </c>
      <c r="AD31" s="13">
        <f t="shared" si="1"/>
        <v>0</v>
      </c>
      <c r="AE31" s="13">
        <f t="shared" si="2"/>
        <v>29</v>
      </c>
      <c r="AF31" s="13" t="s">
        <v>355</v>
      </c>
    </row>
    <row r="32" spans="1:32" ht="15.75" customHeight="1" x14ac:dyDescent="0.2">
      <c r="A32" s="13" t="s">
        <v>1033</v>
      </c>
      <c r="B32" s="13" t="s">
        <v>72</v>
      </c>
      <c r="C32" s="13" t="s">
        <v>1034</v>
      </c>
      <c r="D32" s="13" t="s">
        <v>1035</v>
      </c>
      <c r="E32" s="13" t="s">
        <v>1036</v>
      </c>
      <c r="F32" s="13" t="s">
        <v>1037</v>
      </c>
      <c r="G32" s="13" t="s">
        <v>1038</v>
      </c>
      <c r="H32" s="13" t="s">
        <v>39</v>
      </c>
      <c r="I32" s="13" t="s">
        <v>1039</v>
      </c>
      <c r="J32" s="13" t="s">
        <v>278</v>
      </c>
      <c r="K32" s="43" t="s">
        <v>1040</v>
      </c>
      <c r="L32" s="13" t="s">
        <v>1041</v>
      </c>
      <c r="M32" s="43" t="s">
        <v>1042</v>
      </c>
      <c r="N32" s="13" t="s">
        <v>1043</v>
      </c>
      <c r="O32" s="14" t="s">
        <v>1044</v>
      </c>
      <c r="P32" s="14" t="s">
        <v>1045</v>
      </c>
      <c r="Q32" s="13" t="s">
        <v>48</v>
      </c>
      <c r="R32" s="13"/>
      <c r="S32" s="13" t="s">
        <v>49</v>
      </c>
      <c r="T32" s="13"/>
      <c r="U32" s="14" t="s">
        <v>1046</v>
      </c>
      <c r="V32" s="13" t="s">
        <v>1047</v>
      </c>
      <c r="W32" s="13"/>
      <c r="X32" s="13">
        <v>15</v>
      </c>
      <c r="Y32" s="13"/>
      <c r="Z32" s="13"/>
      <c r="AA32" s="13"/>
      <c r="AB32" s="13"/>
      <c r="AC32" s="13">
        <f t="shared" si="0"/>
        <v>5</v>
      </c>
      <c r="AD32" s="13">
        <f t="shared" si="1"/>
        <v>0</v>
      </c>
      <c r="AE32" s="13">
        <f t="shared" si="2"/>
        <v>20</v>
      </c>
      <c r="AF32" s="13"/>
    </row>
    <row r="33" spans="1:32" ht="15.75" customHeight="1" x14ac:dyDescent="0.2">
      <c r="A33" s="9" t="s">
        <v>1128</v>
      </c>
      <c r="B33" s="9" t="s">
        <v>55</v>
      </c>
      <c r="C33" s="9" t="s">
        <v>1129</v>
      </c>
      <c r="D33" s="9" t="s">
        <v>1130</v>
      </c>
      <c r="E33" s="9" t="s">
        <v>1131</v>
      </c>
      <c r="F33" s="9" t="s">
        <v>1132</v>
      </c>
      <c r="G33" s="9" t="s">
        <v>1133</v>
      </c>
      <c r="H33" s="9" t="s">
        <v>94</v>
      </c>
      <c r="I33" s="9" t="s">
        <v>1134</v>
      </c>
      <c r="J33" s="9" t="s">
        <v>378</v>
      </c>
      <c r="K33" s="9" t="s">
        <v>1135</v>
      </c>
      <c r="L33" s="9" t="s">
        <v>1136</v>
      </c>
      <c r="M33" s="9" t="s">
        <v>1137</v>
      </c>
      <c r="N33" s="9" t="s">
        <v>1138</v>
      </c>
      <c r="O33" s="10" t="s">
        <v>1139</v>
      </c>
      <c r="P33" s="10" t="s">
        <v>1140</v>
      </c>
      <c r="Q33" s="9" t="s">
        <v>48</v>
      </c>
      <c r="R33" s="9" t="s">
        <v>48</v>
      </c>
      <c r="S33" s="9" t="s">
        <v>48</v>
      </c>
      <c r="T33" s="9" t="s">
        <v>48</v>
      </c>
      <c r="U33" s="10" t="s">
        <v>1141</v>
      </c>
      <c r="V33" s="9" t="s">
        <v>1142</v>
      </c>
      <c r="W33" s="9"/>
      <c r="X33" s="9">
        <v>15</v>
      </c>
      <c r="Y33" s="9"/>
      <c r="Z33" s="9"/>
      <c r="AA33" s="9"/>
      <c r="AB33" s="9"/>
      <c r="AC33" s="9">
        <f t="shared" si="0"/>
        <v>0</v>
      </c>
      <c r="AD33" s="9">
        <f t="shared" si="1"/>
        <v>5</v>
      </c>
      <c r="AE33" s="9">
        <f t="shared" si="2"/>
        <v>20</v>
      </c>
      <c r="AF33" s="9"/>
    </row>
    <row r="34" spans="1:32" ht="15.75" customHeight="1" x14ac:dyDescent="0.2">
      <c r="A34" s="13" t="s">
        <v>1174</v>
      </c>
      <c r="B34" s="13" t="s">
        <v>72</v>
      </c>
      <c r="C34" s="13" t="s">
        <v>1175</v>
      </c>
      <c r="D34" s="13" t="s">
        <v>1176</v>
      </c>
      <c r="E34" s="13" t="s">
        <v>49</v>
      </c>
      <c r="F34" s="13" t="s">
        <v>1177</v>
      </c>
      <c r="G34" s="13" t="s">
        <v>1178</v>
      </c>
      <c r="H34" s="13" t="s">
        <v>39</v>
      </c>
      <c r="I34" s="13" t="s">
        <v>1179</v>
      </c>
      <c r="J34" s="13" t="s">
        <v>1180</v>
      </c>
      <c r="K34" s="13" t="s">
        <v>1181</v>
      </c>
      <c r="L34" s="13" t="s">
        <v>1182</v>
      </c>
      <c r="M34" s="13" t="s">
        <v>1183</v>
      </c>
      <c r="N34" s="13" t="s">
        <v>1184</v>
      </c>
      <c r="O34" s="14" t="s">
        <v>1185</v>
      </c>
      <c r="P34" s="14" t="s">
        <v>1186</v>
      </c>
      <c r="Q34" s="13" t="s">
        <v>48</v>
      </c>
      <c r="R34" s="13" t="s">
        <v>1187</v>
      </c>
      <c r="S34" s="13" t="s">
        <v>48</v>
      </c>
      <c r="T34" s="13" t="s">
        <v>1188</v>
      </c>
      <c r="U34" s="14" t="s">
        <v>1189</v>
      </c>
      <c r="V34" s="13" t="s">
        <v>1190</v>
      </c>
      <c r="W34" s="13" t="s">
        <v>859</v>
      </c>
      <c r="X34" s="13">
        <v>10</v>
      </c>
      <c r="Y34" s="13">
        <v>0</v>
      </c>
      <c r="Z34" s="13">
        <v>7</v>
      </c>
      <c r="AA34" s="13">
        <v>3</v>
      </c>
      <c r="AB34" s="13">
        <v>4</v>
      </c>
      <c r="AC34" s="13">
        <f t="shared" si="0"/>
        <v>5</v>
      </c>
      <c r="AD34" s="13">
        <f t="shared" si="1"/>
        <v>0</v>
      </c>
      <c r="AE34" s="13">
        <f t="shared" si="2"/>
        <v>29</v>
      </c>
      <c r="AF34" s="13" t="s">
        <v>535</v>
      </c>
    </row>
    <row r="35" spans="1:32" ht="15.75" customHeight="1" x14ac:dyDescent="0.2">
      <c r="A35" s="13" t="s">
        <v>436</v>
      </c>
      <c r="B35" s="13" t="s">
        <v>106</v>
      </c>
      <c r="C35" s="13" t="s">
        <v>437</v>
      </c>
      <c r="D35" s="13" t="s">
        <v>438</v>
      </c>
      <c r="E35" s="13" t="s">
        <v>439</v>
      </c>
      <c r="F35" s="13" t="s">
        <v>440</v>
      </c>
      <c r="G35" s="13" t="s">
        <v>441</v>
      </c>
      <c r="H35" s="13" t="s">
        <v>94</v>
      </c>
      <c r="I35" s="13" t="s">
        <v>442</v>
      </c>
      <c r="J35" s="13" t="s">
        <v>443</v>
      </c>
      <c r="K35" s="13" t="s">
        <v>444</v>
      </c>
      <c r="L35" s="13" t="s">
        <v>445</v>
      </c>
      <c r="M35" s="13" t="s">
        <v>446</v>
      </c>
      <c r="N35" s="13" t="s">
        <v>447</v>
      </c>
      <c r="O35" s="14" t="s">
        <v>448</v>
      </c>
      <c r="P35" s="14" t="s">
        <v>449</v>
      </c>
      <c r="Q35" s="13" t="s">
        <v>48</v>
      </c>
      <c r="R35" s="13"/>
      <c r="S35" s="13" t="s">
        <v>49</v>
      </c>
      <c r="T35" s="13"/>
      <c r="U35" s="14" t="s">
        <v>450</v>
      </c>
      <c r="V35" s="13" t="s">
        <v>451</v>
      </c>
      <c r="W35" s="13" t="s">
        <v>452</v>
      </c>
      <c r="X35" s="13">
        <v>10</v>
      </c>
      <c r="Y35" s="13">
        <v>1</v>
      </c>
      <c r="Z35" s="13">
        <v>7</v>
      </c>
      <c r="AA35" s="13">
        <v>4</v>
      </c>
      <c r="AB35" s="13">
        <v>6</v>
      </c>
      <c r="AC35" s="13">
        <f t="shared" si="0"/>
        <v>5</v>
      </c>
      <c r="AD35" s="13">
        <f t="shared" si="1"/>
        <v>5</v>
      </c>
      <c r="AE35" s="13">
        <f t="shared" si="2"/>
        <v>38</v>
      </c>
      <c r="AF35" s="13" t="s">
        <v>336</v>
      </c>
    </row>
    <row r="36" spans="1:32" ht="15.75" customHeight="1" x14ac:dyDescent="0.2">
      <c r="A36" s="13" t="s">
        <v>891</v>
      </c>
      <c r="B36" s="13" t="s">
        <v>106</v>
      </c>
      <c r="C36" s="13" t="s">
        <v>437</v>
      </c>
      <c r="D36" s="13" t="s">
        <v>892</v>
      </c>
      <c r="E36" s="13" t="s">
        <v>439</v>
      </c>
      <c r="F36" s="13" t="s">
        <v>440</v>
      </c>
      <c r="G36" s="13" t="s">
        <v>441</v>
      </c>
      <c r="H36" s="13" t="s">
        <v>94</v>
      </c>
      <c r="I36" s="13" t="s">
        <v>893</v>
      </c>
      <c r="J36" s="13" t="s">
        <v>79</v>
      </c>
      <c r="K36" s="13" t="s">
        <v>894</v>
      </c>
      <c r="L36" s="13" t="s">
        <v>895</v>
      </c>
      <c r="M36" s="13" t="s">
        <v>896</v>
      </c>
      <c r="N36" s="13" t="s">
        <v>897</v>
      </c>
      <c r="O36" s="14" t="s">
        <v>898</v>
      </c>
      <c r="P36" s="14" t="s">
        <v>899</v>
      </c>
      <c r="Q36" s="13" t="s">
        <v>49</v>
      </c>
      <c r="R36" s="13"/>
      <c r="S36" s="13" t="s">
        <v>48</v>
      </c>
      <c r="T36" s="13"/>
      <c r="U36" s="14" t="s">
        <v>900</v>
      </c>
      <c r="V36" s="13" t="s">
        <v>451</v>
      </c>
      <c r="W36" s="13" t="s">
        <v>452</v>
      </c>
      <c r="X36" s="13">
        <v>10</v>
      </c>
      <c r="Y36" s="13">
        <v>1</v>
      </c>
      <c r="Z36" s="13">
        <v>7</v>
      </c>
      <c r="AA36" s="13">
        <v>4</v>
      </c>
      <c r="AB36" s="13">
        <v>6</v>
      </c>
      <c r="AC36" s="13">
        <f t="shared" si="0"/>
        <v>5</v>
      </c>
      <c r="AD36" s="13">
        <f t="shared" si="1"/>
        <v>5</v>
      </c>
      <c r="AE36" s="13">
        <f t="shared" si="2"/>
        <v>38</v>
      </c>
      <c r="AF36" s="13" t="s">
        <v>336</v>
      </c>
    </row>
    <row r="37" spans="1:32" ht="15.75" customHeight="1" x14ac:dyDescent="0.2">
      <c r="A37" s="13" t="s">
        <v>1452</v>
      </c>
      <c r="B37" s="13" t="s">
        <v>106</v>
      </c>
      <c r="C37" s="13" t="s">
        <v>1453</v>
      </c>
      <c r="D37" s="13" t="s">
        <v>1454</v>
      </c>
      <c r="E37" s="13" t="s">
        <v>1455</v>
      </c>
      <c r="F37" s="13" t="s">
        <v>1456</v>
      </c>
      <c r="G37" s="13" t="s">
        <v>1457</v>
      </c>
      <c r="H37" s="13" t="s">
        <v>94</v>
      </c>
      <c r="I37" s="13" t="s">
        <v>1458</v>
      </c>
      <c r="J37" s="13" t="s">
        <v>443</v>
      </c>
      <c r="K37" s="13" t="s">
        <v>1459</v>
      </c>
      <c r="L37" s="13" t="s">
        <v>1460</v>
      </c>
      <c r="M37" s="13" t="s">
        <v>1461</v>
      </c>
      <c r="N37" s="13" t="s">
        <v>1462</v>
      </c>
      <c r="O37" s="14" t="s">
        <v>1463</v>
      </c>
      <c r="P37" s="14" t="s">
        <v>1464</v>
      </c>
      <c r="Q37" s="13" t="s">
        <v>48</v>
      </c>
      <c r="R37" s="13" t="s">
        <v>1465</v>
      </c>
      <c r="S37" s="13" t="s">
        <v>48</v>
      </c>
      <c r="T37" s="13"/>
      <c r="U37" s="14" t="s">
        <v>1466</v>
      </c>
      <c r="V37" s="13" t="s">
        <v>1467</v>
      </c>
      <c r="W37" s="13" t="s">
        <v>1468</v>
      </c>
      <c r="X37" s="13">
        <v>10</v>
      </c>
      <c r="Y37" s="13">
        <v>1</v>
      </c>
      <c r="Z37" s="13">
        <v>5</v>
      </c>
      <c r="AA37" s="13">
        <v>3</v>
      </c>
      <c r="AB37" s="13">
        <v>2</v>
      </c>
      <c r="AC37" s="13">
        <f t="shared" si="0"/>
        <v>5</v>
      </c>
      <c r="AD37" s="13">
        <f t="shared" si="1"/>
        <v>5</v>
      </c>
      <c r="AE37" s="13">
        <f t="shared" si="2"/>
        <v>31</v>
      </c>
      <c r="AF37" s="13" t="s">
        <v>355</v>
      </c>
    </row>
    <row r="38" spans="1:32" ht="15.75" customHeight="1" x14ac:dyDescent="0.2">
      <c r="A38" s="17" t="s">
        <v>554</v>
      </c>
      <c r="B38" s="17" t="s">
        <v>55</v>
      </c>
      <c r="C38" s="17" t="s">
        <v>555</v>
      </c>
      <c r="D38" s="17" t="s">
        <v>556</v>
      </c>
      <c r="E38" s="17" t="s">
        <v>557</v>
      </c>
      <c r="F38" s="17" t="s">
        <v>558</v>
      </c>
      <c r="G38" s="17" t="s">
        <v>559</v>
      </c>
      <c r="H38" s="17" t="s">
        <v>39</v>
      </c>
      <c r="I38" s="17" t="s">
        <v>560</v>
      </c>
      <c r="J38" s="17" t="s">
        <v>561</v>
      </c>
      <c r="K38" s="17" t="s">
        <v>562</v>
      </c>
      <c r="L38" s="17" t="s">
        <v>563</v>
      </c>
      <c r="M38" s="17" t="s">
        <v>564</v>
      </c>
      <c r="N38" s="17" t="s">
        <v>565</v>
      </c>
      <c r="O38" s="18" t="s">
        <v>566</v>
      </c>
      <c r="P38" s="18" t="s">
        <v>567</v>
      </c>
      <c r="Q38" s="17" t="s">
        <v>49</v>
      </c>
      <c r="R38" s="17"/>
      <c r="S38" s="17" t="s">
        <v>49</v>
      </c>
      <c r="T38" s="17"/>
      <c r="U38" s="18" t="s">
        <v>568</v>
      </c>
      <c r="V38" s="17" t="s">
        <v>569</v>
      </c>
      <c r="W38" s="17" t="s">
        <v>570</v>
      </c>
      <c r="X38" s="17">
        <v>10</v>
      </c>
      <c r="Y38" s="17">
        <v>2</v>
      </c>
      <c r="Z38" s="17">
        <v>6</v>
      </c>
      <c r="AA38" s="17">
        <v>4</v>
      </c>
      <c r="AB38" s="17">
        <v>4</v>
      </c>
      <c r="AC38" s="17">
        <f t="shared" si="0"/>
        <v>0</v>
      </c>
      <c r="AD38" s="17">
        <f t="shared" si="1"/>
        <v>0</v>
      </c>
      <c r="AE38" s="17">
        <f t="shared" si="2"/>
        <v>26</v>
      </c>
      <c r="AF38" s="17" t="s">
        <v>355</v>
      </c>
    </row>
    <row r="39" spans="1:32" ht="15.75" customHeight="1" x14ac:dyDescent="0.2">
      <c r="A39" s="9" t="s">
        <v>1048</v>
      </c>
      <c r="B39" s="9" t="s">
        <v>106</v>
      </c>
      <c r="C39" s="9" t="s">
        <v>1049</v>
      </c>
      <c r="D39" s="9" t="s">
        <v>987</v>
      </c>
      <c r="E39" s="9" t="s">
        <v>1050</v>
      </c>
      <c r="F39" s="9" t="s">
        <v>1051</v>
      </c>
      <c r="G39" s="9" t="s">
        <v>1052</v>
      </c>
      <c r="H39" s="9" t="s">
        <v>39</v>
      </c>
      <c r="I39" s="9" t="s">
        <v>1053</v>
      </c>
      <c r="J39" s="9" t="s">
        <v>1054</v>
      </c>
      <c r="K39" s="9" t="s">
        <v>1055</v>
      </c>
      <c r="L39" s="9" t="s">
        <v>1056</v>
      </c>
      <c r="M39" s="9" t="s">
        <v>1057</v>
      </c>
      <c r="N39" s="9" t="s">
        <v>1058</v>
      </c>
      <c r="O39" s="10" t="s">
        <v>1059</v>
      </c>
      <c r="P39" s="10" t="s">
        <v>1060</v>
      </c>
      <c r="Q39" s="9" t="s">
        <v>48</v>
      </c>
      <c r="R39" s="9"/>
      <c r="S39" s="9" t="s">
        <v>48</v>
      </c>
      <c r="T39" s="9"/>
      <c r="U39" s="10" t="s">
        <v>1061</v>
      </c>
      <c r="V39" s="9" t="s">
        <v>1062</v>
      </c>
      <c r="W39" s="9" t="s">
        <v>1063</v>
      </c>
      <c r="X39" s="9">
        <v>10</v>
      </c>
      <c r="Y39" s="9">
        <v>0</v>
      </c>
      <c r="Z39" s="9">
        <v>3</v>
      </c>
      <c r="AA39" s="9">
        <v>2</v>
      </c>
      <c r="AB39" s="9">
        <v>6</v>
      </c>
      <c r="AC39" s="9">
        <f t="shared" si="0"/>
        <v>5</v>
      </c>
      <c r="AD39" s="9">
        <f t="shared" si="1"/>
        <v>0</v>
      </c>
      <c r="AE39" s="9">
        <f t="shared" si="2"/>
        <v>26</v>
      </c>
      <c r="AF39" s="9" t="s">
        <v>1064</v>
      </c>
    </row>
    <row r="40" spans="1:32" ht="15.75" customHeight="1" x14ac:dyDescent="0.2">
      <c r="A40" s="17" t="s">
        <v>1225</v>
      </c>
      <c r="B40" s="17" t="s">
        <v>72</v>
      </c>
      <c r="C40" s="17" t="s">
        <v>1226</v>
      </c>
      <c r="D40" s="17" t="s">
        <v>1227</v>
      </c>
      <c r="E40" s="17" t="s">
        <v>1228</v>
      </c>
      <c r="F40" s="17" t="s">
        <v>1229</v>
      </c>
      <c r="G40" s="17" t="s">
        <v>1230</v>
      </c>
      <c r="H40" s="17" t="s">
        <v>94</v>
      </c>
      <c r="I40" s="17" t="s">
        <v>1231</v>
      </c>
      <c r="J40" s="17" t="s">
        <v>1232</v>
      </c>
      <c r="K40" s="44" t="s">
        <v>1233</v>
      </c>
      <c r="L40" s="44" t="s">
        <v>1234</v>
      </c>
      <c r="M40" s="17" t="s">
        <v>1235</v>
      </c>
      <c r="N40" s="17" t="s">
        <v>1236</v>
      </c>
      <c r="O40" s="18" t="s">
        <v>1237</v>
      </c>
      <c r="P40" s="18" t="s">
        <v>1238</v>
      </c>
      <c r="Q40" s="17" t="s">
        <v>48</v>
      </c>
      <c r="R40" s="17" t="s">
        <v>1239</v>
      </c>
      <c r="S40" s="17" t="s">
        <v>49</v>
      </c>
      <c r="T40" s="17"/>
      <c r="U40" s="18" t="s">
        <v>1240</v>
      </c>
      <c r="V40" s="17" t="s">
        <v>1241</v>
      </c>
      <c r="W40" s="17" t="s">
        <v>1242</v>
      </c>
      <c r="X40" s="17">
        <v>10</v>
      </c>
      <c r="Y40" s="17">
        <v>0</v>
      </c>
      <c r="Z40" s="17">
        <v>3</v>
      </c>
      <c r="AA40" s="17">
        <v>4</v>
      </c>
      <c r="AB40" s="17">
        <v>4</v>
      </c>
      <c r="AC40" s="17">
        <f t="shared" si="0"/>
        <v>5</v>
      </c>
      <c r="AD40" s="17">
        <f t="shared" si="1"/>
        <v>5</v>
      </c>
      <c r="AE40" s="17">
        <f t="shared" si="2"/>
        <v>31</v>
      </c>
      <c r="AF40" s="17" t="s">
        <v>53</v>
      </c>
    </row>
    <row r="41" spans="1:32" ht="15.75" customHeight="1" x14ac:dyDescent="0.2">
      <c r="A41" s="11" t="s">
        <v>371</v>
      </c>
      <c r="B41" s="11" t="s">
        <v>55</v>
      </c>
      <c r="C41" s="11" t="s">
        <v>372</v>
      </c>
      <c r="D41" s="11" t="s">
        <v>373</v>
      </c>
      <c r="E41" s="11" t="s">
        <v>374</v>
      </c>
      <c r="F41" s="11" t="s">
        <v>375</v>
      </c>
      <c r="G41" s="11" t="s">
        <v>376</v>
      </c>
      <c r="H41" s="11" t="s">
        <v>39</v>
      </c>
      <c r="I41" s="11" t="s">
        <v>377</v>
      </c>
      <c r="J41" s="11" t="s">
        <v>378</v>
      </c>
      <c r="K41" s="11" t="s">
        <v>379</v>
      </c>
      <c r="L41" s="11" t="s">
        <v>380</v>
      </c>
      <c r="M41" s="11" t="s">
        <v>381</v>
      </c>
      <c r="N41" s="11" t="s">
        <v>382</v>
      </c>
      <c r="O41" s="12" t="s">
        <v>383</v>
      </c>
      <c r="P41" s="12" t="s">
        <v>384</v>
      </c>
      <c r="Q41" s="11" t="s">
        <v>48</v>
      </c>
      <c r="R41" s="11"/>
      <c r="S41" s="11" t="s">
        <v>48</v>
      </c>
      <c r="T41" s="11"/>
      <c r="U41" s="12" t="s">
        <v>385</v>
      </c>
      <c r="V41" s="11" t="s">
        <v>386</v>
      </c>
      <c r="W41" s="11" t="s">
        <v>386</v>
      </c>
      <c r="X41" s="11">
        <v>10</v>
      </c>
      <c r="Y41" s="11">
        <v>1</v>
      </c>
      <c r="Z41" s="11">
        <v>6</v>
      </c>
      <c r="AA41" s="11">
        <v>3</v>
      </c>
      <c r="AB41" s="11">
        <v>4</v>
      </c>
      <c r="AC41" s="11">
        <f t="shared" si="0"/>
        <v>0</v>
      </c>
      <c r="AD41" s="11">
        <f t="shared" si="1"/>
        <v>0</v>
      </c>
      <c r="AE41" s="11">
        <f t="shared" si="2"/>
        <v>24</v>
      </c>
      <c r="AF41" s="11" t="s">
        <v>355</v>
      </c>
    </row>
    <row r="42" spans="1:32" ht="15.75" customHeight="1" x14ac:dyDescent="0.2">
      <c r="A42" s="13" t="s">
        <v>453</v>
      </c>
      <c r="B42" s="13" t="s">
        <v>72</v>
      </c>
      <c r="C42" s="13" t="s">
        <v>454</v>
      </c>
      <c r="D42" s="13" t="s">
        <v>455</v>
      </c>
      <c r="E42" s="13" t="s">
        <v>456</v>
      </c>
      <c r="F42" s="13" t="s">
        <v>457</v>
      </c>
      <c r="G42" s="13" t="s">
        <v>458</v>
      </c>
      <c r="H42" s="13" t="s">
        <v>39</v>
      </c>
      <c r="I42" s="13" t="s">
        <v>459</v>
      </c>
      <c r="J42" s="13" t="s">
        <v>460</v>
      </c>
      <c r="K42" s="13" t="s">
        <v>461</v>
      </c>
      <c r="L42" s="13" t="s">
        <v>462</v>
      </c>
      <c r="M42" s="13" t="s">
        <v>463</v>
      </c>
      <c r="N42" s="13" t="s">
        <v>464</v>
      </c>
      <c r="O42" s="14" t="s">
        <v>465</v>
      </c>
      <c r="P42" s="14" t="s">
        <v>466</v>
      </c>
      <c r="Q42" s="13" t="s">
        <v>48</v>
      </c>
      <c r="R42" s="13"/>
      <c r="S42" s="13" t="s">
        <v>49</v>
      </c>
      <c r="T42" s="13"/>
      <c r="U42" s="14" t="s">
        <v>467</v>
      </c>
      <c r="V42" s="13" t="s">
        <v>468</v>
      </c>
      <c r="W42" s="13" t="s">
        <v>469</v>
      </c>
      <c r="X42" s="13">
        <v>10</v>
      </c>
      <c r="Y42" s="13">
        <v>1</v>
      </c>
      <c r="Z42" s="13">
        <v>6</v>
      </c>
      <c r="AA42" s="13">
        <v>3</v>
      </c>
      <c r="AB42" s="13">
        <v>4</v>
      </c>
      <c r="AC42" s="13">
        <f t="shared" si="0"/>
        <v>5</v>
      </c>
      <c r="AD42" s="13">
        <f t="shared" si="1"/>
        <v>0</v>
      </c>
      <c r="AE42" s="13">
        <f t="shared" si="2"/>
        <v>29</v>
      </c>
      <c r="AF42" s="13" t="s">
        <v>53</v>
      </c>
    </row>
    <row r="43" spans="1:32" ht="15.75" customHeight="1" x14ac:dyDescent="0.2">
      <c r="A43" s="9" t="s">
        <v>1933</v>
      </c>
      <c r="B43" s="9" t="s">
        <v>72</v>
      </c>
      <c r="C43" s="9" t="s">
        <v>1934</v>
      </c>
      <c r="D43" s="9" t="s">
        <v>1935</v>
      </c>
      <c r="E43" s="9" t="s">
        <v>1936</v>
      </c>
      <c r="F43" s="9" t="s">
        <v>1937</v>
      </c>
      <c r="G43" s="9" t="s">
        <v>1938</v>
      </c>
      <c r="H43" s="9" t="s">
        <v>39</v>
      </c>
      <c r="I43" s="9" t="s">
        <v>1939</v>
      </c>
      <c r="J43" s="9" t="s">
        <v>1940</v>
      </c>
      <c r="K43" s="9" t="s">
        <v>1941</v>
      </c>
      <c r="L43" s="9" t="s">
        <v>1942</v>
      </c>
      <c r="M43" s="9" t="s">
        <v>1943</v>
      </c>
      <c r="N43" s="9" t="s">
        <v>1944</v>
      </c>
      <c r="O43" s="10" t="s">
        <v>1945</v>
      </c>
      <c r="P43" s="10" t="s">
        <v>1946</v>
      </c>
      <c r="Q43" s="9" t="s">
        <v>48</v>
      </c>
      <c r="R43" s="9"/>
      <c r="S43" s="9" t="s">
        <v>49</v>
      </c>
      <c r="T43" s="9"/>
      <c r="U43" s="10" t="s">
        <v>1947</v>
      </c>
      <c r="V43" s="9" t="s">
        <v>1948</v>
      </c>
      <c r="W43" s="9" t="s">
        <v>1948</v>
      </c>
      <c r="X43" s="9">
        <v>10</v>
      </c>
      <c r="Y43" s="9">
        <v>2</v>
      </c>
      <c r="Z43" s="9">
        <v>6</v>
      </c>
      <c r="AA43" s="9">
        <v>3</v>
      </c>
      <c r="AB43" s="9">
        <v>2</v>
      </c>
      <c r="AC43" s="9">
        <f t="shared" si="0"/>
        <v>5</v>
      </c>
      <c r="AD43" s="9">
        <f t="shared" si="1"/>
        <v>0</v>
      </c>
      <c r="AE43" s="9">
        <f t="shared" si="2"/>
        <v>28</v>
      </c>
      <c r="AF43" s="9" t="s">
        <v>53</v>
      </c>
    </row>
    <row r="44" spans="1:32" ht="15.75" customHeight="1" x14ac:dyDescent="0.2">
      <c r="A44" s="11" t="s">
        <v>967</v>
      </c>
      <c r="B44" s="11" t="s">
        <v>968</v>
      </c>
      <c r="C44" s="11" t="s">
        <v>969</v>
      </c>
      <c r="D44" s="11" t="s">
        <v>970</v>
      </c>
      <c r="E44" s="11" t="s">
        <v>971</v>
      </c>
      <c r="F44" s="11" t="s">
        <v>972</v>
      </c>
      <c r="G44" s="11" t="s">
        <v>973</v>
      </c>
      <c r="H44" s="11" t="s">
        <v>39</v>
      </c>
      <c r="I44" s="11" t="s">
        <v>974</v>
      </c>
      <c r="J44" s="11" t="s">
        <v>975</v>
      </c>
      <c r="K44" s="11" t="s">
        <v>976</v>
      </c>
      <c r="L44" s="11" t="s">
        <v>977</v>
      </c>
      <c r="M44" s="11" t="s">
        <v>978</v>
      </c>
      <c r="N44" s="11" t="s">
        <v>979</v>
      </c>
      <c r="O44" s="12" t="s">
        <v>980</v>
      </c>
      <c r="P44" s="12" t="s">
        <v>981</v>
      </c>
      <c r="Q44" s="11" t="s">
        <v>48</v>
      </c>
      <c r="R44" s="11"/>
      <c r="S44" s="11" t="s">
        <v>49</v>
      </c>
      <c r="T44" s="11"/>
      <c r="U44" s="12" t="s">
        <v>982</v>
      </c>
      <c r="V44" s="11" t="s">
        <v>983</v>
      </c>
      <c r="W44" s="11" t="s">
        <v>984</v>
      </c>
      <c r="X44" s="11">
        <v>10</v>
      </c>
      <c r="Y44" s="11">
        <v>1</v>
      </c>
      <c r="Z44" s="11">
        <v>6</v>
      </c>
      <c r="AA44" s="11">
        <v>3</v>
      </c>
      <c r="AB44" s="11">
        <v>2</v>
      </c>
      <c r="AC44" s="11">
        <f t="shared" si="0"/>
        <v>5</v>
      </c>
      <c r="AD44" s="11">
        <f t="shared" si="1"/>
        <v>0</v>
      </c>
      <c r="AE44" s="11">
        <f t="shared" si="2"/>
        <v>27</v>
      </c>
      <c r="AF44" s="11" t="s">
        <v>53</v>
      </c>
    </row>
    <row r="45" spans="1:32" ht="15.75" customHeight="1" x14ac:dyDescent="0.2">
      <c r="A45" s="15" t="s">
        <v>287</v>
      </c>
      <c r="B45" s="15" t="s">
        <v>72</v>
      </c>
      <c r="C45" s="15" t="s">
        <v>288</v>
      </c>
      <c r="D45" s="15" t="s">
        <v>289</v>
      </c>
      <c r="E45" s="15"/>
      <c r="F45" s="15" t="s">
        <v>290</v>
      </c>
      <c r="G45" s="15" t="s">
        <v>291</v>
      </c>
      <c r="H45" s="15" t="s">
        <v>39</v>
      </c>
      <c r="I45" s="15" t="s">
        <v>292</v>
      </c>
      <c r="J45" s="15" t="s">
        <v>293</v>
      </c>
      <c r="K45" s="15" t="s">
        <v>294</v>
      </c>
      <c r="L45" s="15" t="s">
        <v>295</v>
      </c>
      <c r="M45" s="15" t="s">
        <v>296</v>
      </c>
      <c r="N45" s="15" t="s">
        <v>297</v>
      </c>
      <c r="O45" s="16" t="s">
        <v>298</v>
      </c>
      <c r="P45" s="16" t="s">
        <v>299</v>
      </c>
      <c r="Q45" s="15" t="s">
        <v>49</v>
      </c>
      <c r="R45" s="15"/>
      <c r="S45" s="15" t="s">
        <v>49</v>
      </c>
      <c r="T45" s="15"/>
      <c r="U45" s="16" t="s">
        <v>300</v>
      </c>
      <c r="V45" s="15" t="s">
        <v>301</v>
      </c>
      <c r="W45" s="15" t="s">
        <v>302</v>
      </c>
      <c r="X45" s="15">
        <v>10</v>
      </c>
      <c r="Y45" s="15">
        <v>0</v>
      </c>
      <c r="Z45" s="15">
        <v>4</v>
      </c>
      <c r="AA45" s="15">
        <v>2</v>
      </c>
      <c r="AB45" s="15">
        <v>4</v>
      </c>
      <c r="AC45" s="15">
        <f t="shared" si="0"/>
        <v>5</v>
      </c>
      <c r="AD45" s="15">
        <f t="shared" si="1"/>
        <v>0</v>
      </c>
      <c r="AE45" s="15">
        <f t="shared" si="2"/>
        <v>25</v>
      </c>
      <c r="AF45" s="15" t="s">
        <v>53</v>
      </c>
    </row>
    <row r="46" spans="1:32" ht="15.75" customHeight="1" x14ac:dyDescent="0.2">
      <c r="A46" s="9" t="s">
        <v>1564</v>
      </c>
      <c r="B46" s="9" t="s">
        <v>106</v>
      </c>
      <c r="C46" s="9" t="s">
        <v>1565</v>
      </c>
      <c r="D46" s="9" t="s">
        <v>1566</v>
      </c>
      <c r="E46" s="9" t="s">
        <v>1567</v>
      </c>
      <c r="F46" s="9" t="s">
        <v>1568</v>
      </c>
      <c r="G46" s="9" t="s">
        <v>1569</v>
      </c>
      <c r="H46" s="9" t="s">
        <v>39</v>
      </c>
      <c r="I46" s="9" t="s">
        <v>1570</v>
      </c>
      <c r="J46" s="9" t="s">
        <v>1571</v>
      </c>
      <c r="K46" s="9" t="s">
        <v>1572</v>
      </c>
      <c r="L46" s="9" t="s">
        <v>1573</v>
      </c>
      <c r="M46" s="9" t="s">
        <v>1574</v>
      </c>
      <c r="N46" s="9" t="s">
        <v>1575</v>
      </c>
      <c r="O46" s="10" t="s">
        <v>1576</v>
      </c>
      <c r="P46" s="10" t="s">
        <v>1577</v>
      </c>
      <c r="Q46" s="9" t="s">
        <v>48</v>
      </c>
      <c r="R46" s="9" t="s">
        <v>1433</v>
      </c>
      <c r="S46" s="9" t="s">
        <v>48</v>
      </c>
      <c r="T46" s="9" t="s">
        <v>1433</v>
      </c>
      <c r="U46" s="10" t="s">
        <v>1578</v>
      </c>
      <c r="V46" s="9" t="s">
        <v>1579</v>
      </c>
      <c r="W46" s="9" t="s">
        <v>1579</v>
      </c>
      <c r="X46" s="9">
        <v>10</v>
      </c>
      <c r="Y46" s="9">
        <v>1</v>
      </c>
      <c r="Z46" s="9">
        <v>7</v>
      </c>
      <c r="AA46" s="9">
        <v>3</v>
      </c>
      <c r="AB46" s="9">
        <v>4</v>
      </c>
      <c r="AC46" s="9">
        <f t="shared" si="0"/>
        <v>5</v>
      </c>
      <c r="AD46" s="9">
        <f t="shared" si="1"/>
        <v>0</v>
      </c>
      <c r="AE46" s="9">
        <f t="shared" si="2"/>
        <v>30</v>
      </c>
      <c r="AF46" s="9" t="s">
        <v>53</v>
      </c>
    </row>
    <row r="47" spans="1:32" ht="15.75" customHeight="1" x14ac:dyDescent="0.2">
      <c r="A47" s="13" t="s">
        <v>1159</v>
      </c>
      <c r="B47" s="13" t="s">
        <v>72</v>
      </c>
      <c r="C47" s="13" t="s">
        <v>1160</v>
      </c>
      <c r="D47" s="13" t="s">
        <v>1161</v>
      </c>
      <c r="E47" s="13"/>
      <c r="F47" s="13" t="s">
        <v>1162</v>
      </c>
      <c r="G47" s="13" t="s">
        <v>1163</v>
      </c>
      <c r="H47" s="13" t="s">
        <v>39</v>
      </c>
      <c r="I47" s="13" t="s">
        <v>1164</v>
      </c>
      <c r="J47" s="13" t="s">
        <v>345</v>
      </c>
      <c r="K47" s="13" t="s">
        <v>1165</v>
      </c>
      <c r="L47" s="43" t="s">
        <v>1166</v>
      </c>
      <c r="M47" s="13" t="s">
        <v>1167</v>
      </c>
      <c r="N47" s="13" t="s">
        <v>1168</v>
      </c>
      <c r="O47" s="14" t="s">
        <v>1169</v>
      </c>
      <c r="P47" s="14" t="s">
        <v>1170</v>
      </c>
      <c r="Q47" s="13" t="s">
        <v>49</v>
      </c>
      <c r="R47" s="13"/>
      <c r="S47" s="13" t="s">
        <v>49</v>
      </c>
      <c r="T47" s="13"/>
      <c r="U47" s="14" t="s">
        <v>1171</v>
      </c>
      <c r="V47" s="13" t="s">
        <v>1172</v>
      </c>
      <c r="W47" s="13" t="s">
        <v>1173</v>
      </c>
      <c r="X47" s="13">
        <v>10</v>
      </c>
      <c r="Y47" s="13">
        <v>0</v>
      </c>
      <c r="Z47" s="13">
        <v>6</v>
      </c>
      <c r="AA47" s="13">
        <v>4</v>
      </c>
      <c r="AB47" s="13">
        <v>4</v>
      </c>
      <c r="AC47" s="13">
        <f t="shared" si="0"/>
        <v>5</v>
      </c>
      <c r="AD47" s="13">
        <f t="shared" si="1"/>
        <v>0</v>
      </c>
      <c r="AE47" s="13">
        <f t="shared" si="2"/>
        <v>29</v>
      </c>
      <c r="AF47" s="13" t="s">
        <v>53</v>
      </c>
    </row>
    <row r="48" spans="1:32" ht="15.75" customHeight="1" x14ac:dyDescent="0.2">
      <c r="A48" s="13" t="s">
        <v>1869</v>
      </c>
      <c r="B48" s="13" t="s">
        <v>188</v>
      </c>
      <c r="C48" s="13" t="s">
        <v>1870</v>
      </c>
      <c r="D48" s="13" t="s">
        <v>1871</v>
      </c>
      <c r="E48" s="13" t="s">
        <v>1872</v>
      </c>
      <c r="F48" s="13" t="s">
        <v>1873</v>
      </c>
      <c r="G48" s="13" t="s">
        <v>1874</v>
      </c>
      <c r="H48" s="13" t="s">
        <v>39</v>
      </c>
      <c r="I48" s="13" t="s">
        <v>1875</v>
      </c>
      <c r="J48" s="13" t="s">
        <v>1876</v>
      </c>
      <c r="K48" s="13" t="s">
        <v>1877</v>
      </c>
      <c r="L48" s="13" t="s">
        <v>1878</v>
      </c>
      <c r="M48" s="13" t="s">
        <v>1879</v>
      </c>
      <c r="N48" s="13" t="s">
        <v>1880</v>
      </c>
      <c r="O48" s="14" t="s">
        <v>1881</v>
      </c>
      <c r="P48" s="14" t="s">
        <v>1882</v>
      </c>
      <c r="Q48" s="13" t="s">
        <v>48</v>
      </c>
      <c r="R48" s="13"/>
      <c r="S48" s="13" t="s">
        <v>49</v>
      </c>
      <c r="T48" s="13"/>
      <c r="U48" s="14" t="s">
        <v>1883</v>
      </c>
      <c r="V48" s="13" t="s">
        <v>1884</v>
      </c>
      <c r="W48" s="13" t="s">
        <v>1884</v>
      </c>
      <c r="X48" s="13">
        <v>10</v>
      </c>
      <c r="Y48" s="13">
        <v>0</v>
      </c>
      <c r="Z48" s="13">
        <v>5</v>
      </c>
      <c r="AA48" s="13">
        <v>3</v>
      </c>
      <c r="AB48" s="13">
        <v>0</v>
      </c>
      <c r="AC48" s="13">
        <f t="shared" si="0"/>
        <v>5</v>
      </c>
      <c r="AD48" s="13">
        <f t="shared" si="1"/>
        <v>0</v>
      </c>
      <c r="AE48" s="13">
        <f t="shared" si="2"/>
        <v>23</v>
      </c>
      <c r="AF48" s="13" t="s">
        <v>53</v>
      </c>
    </row>
    <row r="49" spans="1:32" ht="15.75" customHeight="1" x14ac:dyDescent="0.2">
      <c r="A49" s="13" t="s">
        <v>1530</v>
      </c>
      <c r="B49" s="13" t="s">
        <v>1531</v>
      </c>
      <c r="C49" s="13" t="s">
        <v>1532</v>
      </c>
      <c r="D49" s="13" t="s">
        <v>1533</v>
      </c>
      <c r="E49" s="13" t="s">
        <v>49</v>
      </c>
      <c r="F49" s="13" t="s">
        <v>1534</v>
      </c>
      <c r="G49" s="13" t="s">
        <v>1535</v>
      </c>
      <c r="H49" s="13" t="s">
        <v>39</v>
      </c>
      <c r="I49" s="13" t="s">
        <v>1536</v>
      </c>
      <c r="J49" s="13" t="s">
        <v>1537</v>
      </c>
      <c r="K49" s="43" t="s">
        <v>1538</v>
      </c>
      <c r="L49" s="43" t="s">
        <v>1539</v>
      </c>
      <c r="M49" s="13" t="s">
        <v>1540</v>
      </c>
      <c r="N49" s="13" t="s">
        <v>1541</v>
      </c>
      <c r="O49" s="14" t="s">
        <v>1542</v>
      </c>
      <c r="P49" s="14" t="s">
        <v>1543</v>
      </c>
      <c r="Q49" s="13" t="s">
        <v>49</v>
      </c>
      <c r="R49" s="13"/>
      <c r="S49" s="13" t="s">
        <v>49</v>
      </c>
      <c r="T49" s="13"/>
      <c r="U49" s="14" t="s">
        <v>1544</v>
      </c>
      <c r="V49" s="13" t="s">
        <v>1545</v>
      </c>
      <c r="W49" s="13" t="s">
        <v>1546</v>
      </c>
      <c r="X49" s="13">
        <v>10</v>
      </c>
      <c r="Y49" s="13">
        <v>1</v>
      </c>
      <c r="Z49" s="13">
        <v>4</v>
      </c>
      <c r="AA49" s="13">
        <v>2</v>
      </c>
      <c r="AB49" s="13">
        <v>4</v>
      </c>
      <c r="AC49" s="13">
        <f t="shared" si="0"/>
        <v>5</v>
      </c>
      <c r="AD49" s="13">
        <f t="shared" si="1"/>
        <v>0</v>
      </c>
      <c r="AE49" s="13">
        <f t="shared" si="2"/>
        <v>26</v>
      </c>
      <c r="AF49" s="13" t="s">
        <v>53</v>
      </c>
    </row>
    <row r="50" spans="1:32" ht="15.75" customHeight="1" x14ac:dyDescent="0.2">
      <c r="A50" s="15" t="s">
        <v>1674</v>
      </c>
      <c r="B50" s="15" t="s">
        <v>106</v>
      </c>
      <c r="C50" s="15" t="s">
        <v>1675</v>
      </c>
      <c r="D50" s="15" t="s">
        <v>1676</v>
      </c>
      <c r="E50" s="15" t="s">
        <v>1677</v>
      </c>
      <c r="F50" s="15" t="s">
        <v>1678</v>
      </c>
      <c r="G50" s="15" t="s">
        <v>1679</v>
      </c>
      <c r="H50" s="15" t="s">
        <v>39</v>
      </c>
      <c r="I50" s="15" t="s">
        <v>1680</v>
      </c>
      <c r="J50" s="15" t="s">
        <v>1681</v>
      </c>
      <c r="K50" s="15" t="s">
        <v>1682</v>
      </c>
      <c r="L50" s="15" t="s">
        <v>1683</v>
      </c>
      <c r="M50" s="15" t="s">
        <v>1684</v>
      </c>
      <c r="N50" s="15" t="s">
        <v>1685</v>
      </c>
      <c r="O50" s="16" t="s">
        <v>1686</v>
      </c>
      <c r="P50" s="16" t="s">
        <v>1687</v>
      </c>
      <c r="Q50" s="15" t="s">
        <v>49</v>
      </c>
      <c r="R50" s="15"/>
      <c r="S50" s="15" t="s">
        <v>49</v>
      </c>
      <c r="T50" s="15"/>
      <c r="U50" s="16" t="s">
        <v>1688</v>
      </c>
      <c r="V50" s="15" t="s">
        <v>1689</v>
      </c>
      <c r="W50" s="15" t="s">
        <v>1690</v>
      </c>
      <c r="X50" s="15">
        <v>10</v>
      </c>
      <c r="Y50" s="15">
        <v>1</v>
      </c>
      <c r="Z50" s="15">
        <v>1</v>
      </c>
      <c r="AA50" s="15">
        <v>0</v>
      </c>
      <c r="AB50" s="15">
        <v>0</v>
      </c>
      <c r="AC50" s="15">
        <f t="shared" si="0"/>
        <v>5</v>
      </c>
      <c r="AD50" s="15">
        <f t="shared" si="1"/>
        <v>0</v>
      </c>
      <c r="AE50" s="15">
        <f t="shared" si="2"/>
        <v>17</v>
      </c>
      <c r="AF50" s="15" t="s">
        <v>53</v>
      </c>
    </row>
    <row r="51" spans="1:32" ht="15.75" customHeight="1" x14ac:dyDescent="0.2">
      <c r="A51" s="9" t="s">
        <v>1321</v>
      </c>
      <c r="B51" s="9" t="s">
        <v>239</v>
      </c>
      <c r="C51" s="9" t="s">
        <v>1322</v>
      </c>
      <c r="D51" s="9" t="s">
        <v>1323</v>
      </c>
      <c r="E51" s="9" t="s">
        <v>1324</v>
      </c>
      <c r="F51" s="9" t="s">
        <v>1325</v>
      </c>
      <c r="G51" s="9" t="s">
        <v>1326</v>
      </c>
      <c r="H51" s="9" t="s">
        <v>39</v>
      </c>
      <c r="I51" s="9" t="s">
        <v>1327</v>
      </c>
      <c r="J51" s="9" t="s">
        <v>1328</v>
      </c>
      <c r="K51" s="9" t="s">
        <v>1329</v>
      </c>
      <c r="L51" s="9" t="s">
        <v>1330</v>
      </c>
      <c r="M51" s="9" t="s">
        <v>1331</v>
      </c>
      <c r="N51" s="9" t="s">
        <v>1332</v>
      </c>
      <c r="O51" s="10" t="s">
        <v>1333</v>
      </c>
      <c r="P51" s="10" t="s">
        <v>1334</v>
      </c>
      <c r="Q51" s="9" t="s">
        <v>48</v>
      </c>
      <c r="R51" s="9"/>
      <c r="S51" s="9" t="s">
        <v>48</v>
      </c>
      <c r="T51" s="9"/>
      <c r="U51" s="10" t="s">
        <v>1335</v>
      </c>
      <c r="V51" s="9" t="s">
        <v>1336</v>
      </c>
      <c r="W51" s="9"/>
      <c r="X51" s="9">
        <v>10</v>
      </c>
      <c r="Y51" s="9">
        <v>1</v>
      </c>
      <c r="Z51" s="9">
        <v>6</v>
      </c>
      <c r="AA51" s="9">
        <v>3</v>
      </c>
      <c r="AB51" s="9">
        <v>0</v>
      </c>
      <c r="AC51" s="9">
        <f t="shared" si="0"/>
        <v>5</v>
      </c>
      <c r="AD51" s="9">
        <f t="shared" si="1"/>
        <v>0</v>
      </c>
      <c r="AE51" s="9">
        <f t="shared" si="2"/>
        <v>25</v>
      </c>
      <c r="AF51" s="9" t="s">
        <v>53</v>
      </c>
    </row>
    <row r="52" spans="1:32" ht="15.75" customHeight="1" x14ac:dyDescent="0.2">
      <c r="A52" s="13" t="s">
        <v>1657</v>
      </c>
      <c r="B52" s="13" t="s">
        <v>55</v>
      </c>
      <c r="C52" s="13" t="s">
        <v>1658</v>
      </c>
      <c r="D52" s="13" t="s">
        <v>1659</v>
      </c>
      <c r="E52" s="13" t="s">
        <v>1660</v>
      </c>
      <c r="F52" s="13" t="s">
        <v>1661</v>
      </c>
      <c r="G52" s="13" t="s">
        <v>1662</v>
      </c>
      <c r="H52" s="13" t="s">
        <v>94</v>
      </c>
      <c r="I52" s="13" t="s">
        <v>1663</v>
      </c>
      <c r="J52" s="13" t="s">
        <v>1664</v>
      </c>
      <c r="K52" s="13" t="s">
        <v>1665</v>
      </c>
      <c r="L52" s="13" t="s">
        <v>1666</v>
      </c>
      <c r="M52" s="13" t="s">
        <v>1667</v>
      </c>
      <c r="N52" s="13" t="s">
        <v>1668</v>
      </c>
      <c r="O52" s="14" t="s">
        <v>1669</v>
      </c>
      <c r="P52" s="14" t="s">
        <v>1670</v>
      </c>
      <c r="Q52" s="13" t="s">
        <v>48</v>
      </c>
      <c r="R52" s="13" t="s">
        <v>1671</v>
      </c>
      <c r="S52" s="13" t="s">
        <v>48</v>
      </c>
      <c r="T52" s="13" t="s">
        <v>1671</v>
      </c>
      <c r="U52" s="14" t="s">
        <v>1672</v>
      </c>
      <c r="V52" s="13" t="s">
        <v>1673</v>
      </c>
      <c r="W52" s="13"/>
      <c r="X52" s="13">
        <v>10</v>
      </c>
      <c r="Y52" s="13">
        <v>0</v>
      </c>
      <c r="Z52" s="13">
        <v>7</v>
      </c>
      <c r="AA52" s="13">
        <v>2</v>
      </c>
      <c r="AB52" s="13">
        <v>0</v>
      </c>
      <c r="AC52" s="13">
        <f t="shared" si="0"/>
        <v>0</v>
      </c>
      <c r="AD52" s="13">
        <f t="shared" si="1"/>
        <v>5</v>
      </c>
      <c r="AE52" s="13">
        <f t="shared" si="2"/>
        <v>24</v>
      </c>
      <c r="AF52" s="13" t="s">
        <v>53</v>
      </c>
    </row>
    <row r="53" spans="1:32" ht="15.75" customHeight="1" x14ac:dyDescent="0.2">
      <c r="A53" s="17" t="s">
        <v>356</v>
      </c>
      <c r="B53" s="17" t="s">
        <v>72</v>
      </c>
      <c r="C53" s="17" t="s">
        <v>357</v>
      </c>
      <c r="D53" s="17" t="s">
        <v>358</v>
      </c>
      <c r="E53" s="17"/>
      <c r="F53" s="17" t="s">
        <v>359</v>
      </c>
      <c r="G53" s="17" t="s">
        <v>360</v>
      </c>
      <c r="H53" s="17" t="s">
        <v>94</v>
      </c>
      <c r="I53" s="17" t="s">
        <v>361</v>
      </c>
      <c r="J53" s="17" t="s">
        <v>362</v>
      </c>
      <c r="K53" s="17" t="s">
        <v>363</v>
      </c>
      <c r="L53" s="17" t="s">
        <v>364</v>
      </c>
      <c r="M53" s="17" t="s">
        <v>365</v>
      </c>
      <c r="N53" s="17" t="s">
        <v>366</v>
      </c>
      <c r="O53" s="18" t="s">
        <v>367</v>
      </c>
      <c r="P53" s="18" t="s">
        <v>368</v>
      </c>
      <c r="Q53" s="17" t="s">
        <v>49</v>
      </c>
      <c r="R53" s="17"/>
      <c r="S53" s="17" t="s">
        <v>49</v>
      </c>
      <c r="T53" s="17"/>
      <c r="U53" s="18" t="s">
        <v>369</v>
      </c>
      <c r="V53" s="17" t="s">
        <v>370</v>
      </c>
      <c r="W53" s="17"/>
      <c r="X53" s="17">
        <v>10</v>
      </c>
      <c r="Y53" s="17">
        <v>0</v>
      </c>
      <c r="Z53" s="17">
        <v>0</v>
      </c>
      <c r="AA53" s="17">
        <v>1</v>
      </c>
      <c r="AB53" s="17">
        <v>0</v>
      </c>
      <c r="AC53" s="17">
        <f t="shared" si="0"/>
        <v>5</v>
      </c>
      <c r="AD53" s="17">
        <f t="shared" si="1"/>
        <v>5</v>
      </c>
      <c r="AE53" s="17">
        <f t="shared" si="2"/>
        <v>21</v>
      </c>
      <c r="AF53" s="17" t="s">
        <v>53</v>
      </c>
    </row>
    <row r="54" spans="1:32" ht="15.75" customHeight="1" x14ac:dyDescent="0.2">
      <c r="A54" s="9" t="s">
        <v>303</v>
      </c>
      <c r="B54" s="9" t="s">
        <v>304</v>
      </c>
      <c r="C54" s="9" t="s">
        <v>305</v>
      </c>
      <c r="D54" s="9" t="s">
        <v>306</v>
      </c>
      <c r="E54" s="9" t="s">
        <v>307</v>
      </c>
      <c r="F54" s="9" t="s">
        <v>308</v>
      </c>
      <c r="G54" s="9" t="s">
        <v>309</v>
      </c>
      <c r="H54" s="9" t="s">
        <v>94</v>
      </c>
      <c r="I54" s="9" t="s">
        <v>310</v>
      </c>
      <c r="J54" s="9" t="s">
        <v>311</v>
      </c>
      <c r="K54" s="9" t="s">
        <v>312</v>
      </c>
      <c r="L54" s="9" t="s">
        <v>313</v>
      </c>
      <c r="M54" s="9" t="s">
        <v>314</v>
      </c>
      <c r="N54" s="9" t="s">
        <v>315</v>
      </c>
      <c r="O54" s="10" t="s">
        <v>316</v>
      </c>
      <c r="P54" s="10" t="s">
        <v>317</v>
      </c>
      <c r="Q54" s="9" t="s">
        <v>48</v>
      </c>
      <c r="R54" s="9"/>
      <c r="S54" s="9" t="s">
        <v>49</v>
      </c>
      <c r="T54" s="9"/>
      <c r="U54" s="10" t="s">
        <v>318</v>
      </c>
      <c r="V54" s="9" t="s">
        <v>319</v>
      </c>
      <c r="W54" s="9"/>
      <c r="X54" s="9">
        <v>10</v>
      </c>
      <c r="Y54" s="9"/>
      <c r="Z54" s="9"/>
      <c r="AA54" s="9"/>
      <c r="AB54" s="9"/>
      <c r="AC54" s="9">
        <f t="shared" si="0"/>
        <v>5</v>
      </c>
      <c r="AD54" s="9">
        <f t="shared" si="1"/>
        <v>5</v>
      </c>
      <c r="AE54" s="9">
        <f t="shared" si="2"/>
        <v>20</v>
      </c>
      <c r="AF54" s="9"/>
    </row>
    <row r="55" spans="1:32" ht="15.75" customHeight="1" x14ac:dyDescent="0.2">
      <c r="A55" s="17" t="s">
        <v>587</v>
      </c>
      <c r="B55" s="17" t="s">
        <v>239</v>
      </c>
      <c r="C55" s="17" t="s">
        <v>588</v>
      </c>
      <c r="D55" s="17" t="s">
        <v>589</v>
      </c>
      <c r="E55" s="17" t="s">
        <v>590</v>
      </c>
      <c r="F55" s="17" t="s">
        <v>591</v>
      </c>
      <c r="G55" s="17" t="s">
        <v>592</v>
      </c>
      <c r="H55" s="17" t="s">
        <v>39</v>
      </c>
      <c r="I55" s="17" t="s">
        <v>593</v>
      </c>
      <c r="J55" s="17" t="s">
        <v>594</v>
      </c>
      <c r="K55" s="17" t="s">
        <v>595</v>
      </c>
      <c r="L55" s="17" t="s">
        <v>596</v>
      </c>
      <c r="M55" s="17" t="s">
        <v>597</v>
      </c>
      <c r="N55" s="17" t="s">
        <v>598</v>
      </c>
      <c r="O55" s="18" t="s">
        <v>599</v>
      </c>
      <c r="P55" s="18" t="s">
        <v>600</v>
      </c>
      <c r="Q55" s="17" t="s">
        <v>48</v>
      </c>
      <c r="R55" s="17"/>
      <c r="S55" s="17" t="s">
        <v>48</v>
      </c>
      <c r="T55" s="17"/>
      <c r="U55" s="18" t="s">
        <v>601</v>
      </c>
      <c r="V55" s="17" t="s">
        <v>602</v>
      </c>
      <c r="W55" s="17"/>
      <c r="X55" s="17">
        <v>10</v>
      </c>
      <c r="Y55" s="17"/>
      <c r="Z55" s="17"/>
      <c r="AA55" s="17"/>
      <c r="AB55" s="17"/>
      <c r="AC55" s="17">
        <f t="shared" si="0"/>
        <v>5</v>
      </c>
      <c r="AD55" s="17">
        <f t="shared" si="1"/>
        <v>0</v>
      </c>
      <c r="AE55" s="17">
        <f t="shared" si="2"/>
        <v>15</v>
      </c>
      <c r="AF55" s="17"/>
    </row>
    <row r="56" spans="1:32" ht="15.75" customHeight="1" x14ac:dyDescent="0.2">
      <c r="A56" s="17" t="s">
        <v>1949</v>
      </c>
      <c r="B56" s="17" t="s">
        <v>239</v>
      </c>
      <c r="C56" s="17" t="s">
        <v>1950</v>
      </c>
      <c r="D56" s="17" t="s">
        <v>1951</v>
      </c>
      <c r="E56" s="17" t="s">
        <v>1952</v>
      </c>
      <c r="F56" s="17" t="s">
        <v>1953</v>
      </c>
      <c r="G56" s="17" t="s">
        <v>1954</v>
      </c>
      <c r="H56" s="17" t="s">
        <v>1955</v>
      </c>
      <c r="I56" s="19"/>
      <c r="J56" s="17" t="s">
        <v>1956</v>
      </c>
      <c r="K56" s="17" t="s">
        <v>1957</v>
      </c>
      <c r="L56" s="17" t="s">
        <v>1958</v>
      </c>
      <c r="M56" s="17" t="s">
        <v>1959</v>
      </c>
      <c r="N56" s="17" t="s">
        <v>1960</v>
      </c>
      <c r="O56" s="18" t="s">
        <v>1961</v>
      </c>
      <c r="P56" s="18" t="s">
        <v>1962</v>
      </c>
      <c r="Q56" s="17" t="s">
        <v>48</v>
      </c>
      <c r="R56" s="17"/>
      <c r="S56" s="17" t="s">
        <v>49</v>
      </c>
      <c r="T56" s="17"/>
      <c r="U56" s="18" t="s">
        <v>1963</v>
      </c>
      <c r="V56" s="17" t="s">
        <v>1964</v>
      </c>
      <c r="W56" s="17"/>
      <c r="X56" s="17">
        <v>10</v>
      </c>
      <c r="Y56" s="17"/>
      <c r="Z56" s="17"/>
      <c r="AA56" s="17"/>
      <c r="AB56" s="17"/>
      <c r="AC56" s="17">
        <f t="shared" si="0"/>
        <v>5</v>
      </c>
      <c r="AD56" s="17">
        <f t="shared" si="1"/>
        <v>0</v>
      </c>
      <c r="AE56" s="17">
        <f t="shared" si="2"/>
        <v>15</v>
      </c>
      <c r="AF56" s="17"/>
    </row>
    <row r="57" spans="1:32" ht="15.75" customHeight="1" x14ac:dyDescent="0.2">
      <c r="A57" s="9" t="s">
        <v>618</v>
      </c>
      <c r="B57" s="9" t="s">
        <v>106</v>
      </c>
      <c r="C57" s="9" t="s">
        <v>619</v>
      </c>
      <c r="D57" s="9" t="s">
        <v>620</v>
      </c>
      <c r="E57" s="9" t="s">
        <v>621</v>
      </c>
      <c r="F57" s="9" t="s">
        <v>622</v>
      </c>
      <c r="G57" s="9" t="s">
        <v>623</v>
      </c>
      <c r="H57" s="9" t="s">
        <v>39</v>
      </c>
      <c r="I57" s="9" t="s">
        <v>624</v>
      </c>
      <c r="J57" s="9" t="s">
        <v>625</v>
      </c>
      <c r="K57" s="9" t="s">
        <v>626</v>
      </c>
      <c r="L57" s="9" t="s">
        <v>627</v>
      </c>
      <c r="M57" s="9" t="s">
        <v>628</v>
      </c>
      <c r="N57" s="9" t="s">
        <v>629</v>
      </c>
      <c r="O57" s="10" t="s">
        <v>630</v>
      </c>
      <c r="P57" s="10" t="s">
        <v>631</v>
      </c>
      <c r="Q57" s="9" t="s">
        <v>48</v>
      </c>
      <c r="R57" s="9"/>
      <c r="S57" s="9" t="s">
        <v>48</v>
      </c>
      <c r="T57" s="9"/>
      <c r="U57" s="10" t="s">
        <v>632</v>
      </c>
      <c r="V57" s="9" t="s">
        <v>633</v>
      </c>
      <c r="W57" s="9" t="s">
        <v>633</v>
      </c>
      <c r="X57" s="9">
        <v>5</v>
      </c>
      <c r="Y57" s="9">
        <v>3</v>
      </c>
      <c r="Z57" s="9">
        <v>8</v>
      </c>
      <c r="AA57" s="9">
        <v>4</v>
      </c>
      <c r="AB57" s="9">
        <v>8</v>
      </c>
      <c r="AC57" s="20">
        <f t="shared" si="0"/>
        <v>5</v>
      </c>
      <c r="AD57" s="20">
        <f t="shared" si="1"/>
        <v>0</v>
      </c>
      <c r="AE57" s="9">
        <f t="shared" si="2"/>
        <v>33</v>
      </c>
      <c r="AF57" s="9" t="s">
        <v>634</v>
      </c>
    </row>
    <row r="58" spans="1:32" ht="15.75" customHeight="1" x14ac:dyDescent="0.2">
      <c r="A58" s="13" t="s">
        <v>844</v>
      </c>
      <c r="B58" s="13" t="s">
        <v>55</v>
      </c>
      <c r="C58" s="13" t="s">
        <v>845</v>
      </c>
      <c r="D58" s="13" t="s">
        <v>846</v>
      </c>
      <c r="E58" s="13" t="s">
        <v>847</v>
      </c>
      <c r="F58" s="13" t="s">
        <v>848</v>
      </c>
      <c r="G58" s="13" t="s">
        <v>849</v>
      </c>
      <c r="H58" s="13" t="s">
        <v>39</v>
      </c>
      <c r="I58" s="13" t="s">
        <v>850</v>
      </c>
      <c r="J58" s="13" t="s">
        <v>851</v>
      </c>
      <c r="K58" s="13" t="s">
        <v>852</v>
      </c>
      <c r="L58" s="13" t="s">
        <v>853</v>
      </c>
      <c r="M58" s="13" t="s">
        <v>854</v>
      </c>
      <c r="N58" s="13" t="s">
        <v>855</v>
      </c>
      <c r="O58" s="14" t="s">
        <v>856</v>
      </c>
      <c r="P58" s="14" t="s">
        <v>857</v>
      </c>
      <c r="Q58" s="13" t="s">
        <v>48</v>
      </c>
      <c r="R58" s="13"/>
      <c r="S58" s="13" t="s">
        <v>49</v>
      </c>
      <c r="T58" s="13"/>
      <c r="U58" s="14" t="s">
        <v>858</v>
      </c>
      <c r="V58" s="13" t="s">
        <v>859</v>
      </c>
      <c r="W58" s="13" t="s">
        <v>859</v>
      </c>
      <c r="X58" s="13">
        <v>5</v>
      </c>
      <c r="Y58" s="13">
        <v>3</v>
      </c>
      <c r="Z58" s="13">
        <v>7</v>
      </c>
      <c r="AA58" s="13">
        <v>3</v>
      </c>
      <c r="AB58" s="13">
        <v>4</v>
      </c>
      <c r="AC58" s="13">
        <f t="shared" si="0"/>
        <v>0</v>
      </c>
      <c r="AD58" s="13">
        <f t="shared" si="1"/>
        <v>0</v>
      </c>
      <c r="AE58" s="13">
        <f t="shared" si="2"/>
        <v>22</v>
      </c>
      <c r="AF58" s="13" t="s">
        <v>535</v>
      </c>
    </row>
    <row r="59" spans="1:32" ht="15.75" customHeight="1" x14ac:dyDescent="0.2">
      <c r="A59" s="13" t="s">
        <v>470</v>
      </c>
      <c r="B59" s="13" t="s">
        <v>106</v>
      </c>
      <c r="C59" s="13" t="s">
        <v>471</v>
      </c>
      <c r="D59" s="13" t="s">
        <v>472</v>
      </c>
      <c r="E59" s="13" t="s">
        <v>473</v>
      </c>
      <c r="F59" s="13" t="s">
        <v>474</v>
      </c>
      <c r="G59" s="13" t="s">
        <v>475</v>
      </c>
      <c r="H59" s="13" t="s">
        <v>94</v>
      </c>
      <c r="I59" s="13" t="s">
        <v>476</v>
      </c>
      <c r="J59" s="13" t="s">
        <v>477</v>
      </c>
      <c r="K59" s="13" t="s">
        <v>478</v>
      </c>
      <c r="L59" s="13" t="s">
        <v>479</v>
      </c>
      <c r="M59" s="13" t="s">
        <v>480</v>
      </c>
      <c r="N59" s="13" t="s">
        <v>481</v>
      </c>
      <c r="O59" s="14" t="s">
        <v>482</v>
      </c>
      <c r="P59" s="14" t="s">
        <v>483</v>
      </c>
      <c r="Q59" s="13" t="s">
        <v>49</v>
      </c>
      <c r="R59" s="13"/>
      <c r="S59" s="13" t="s">
        <v>49</v>
      </c>
      <c r="T59" s="13"/>
      <c r="U59" s="14" t="s">
        <v>484</v>
      </c>
      <c r="V59" s="13" t="s">
        <v>485</v>
      </c>
      <c r="W59" s="13" t="s">
        <v>486</v>
      </c>
      <c r="X59" s="13">
        <v>5</v>
      </c>
      <c r="Y59" s="13">
        <v>1</v>
      </c>
      <c r="Z59" s="13">
        <v>5</v>
      </c>
      <c r="AA59" s="13">
        <v>3</v>
      </c>
      <c r="AB59" s="13">
        <v>6</v>
      </c>
      <c r="AC59" s="13">
        <f t="shared" si="0"/>
        <v>5</v>
      </c>
      <c r="AD59" s="13">
        <f t="shared" si="1"/>
        <v>5</v>
      </c>
      <c r="AE59" s="13">
        <f t="shared" si="2"/>
        <v>30</v>
      </c>
      <c r="AF59" s="13" t="s">
        <v>336</v>
      </c>
    </row>
    <row r="60" spans="1:32" ht="15.75" customHeight="1" x14ac:dyDescent="0.2">
      <c r="A60" s="15" t="s">
        <v>1626</v>
      </c>
      <c r="B60" s="15" t="s">
        <v>55</v>
      </c>
      <c r="C60" s="15" t="s">
        <v>1627</v>
      </c>
      <c r="D60" s="15" t="s">
        <v>1628</v>
      </c>
      <c r="E60" s="15" t="s">
        <v>258</v>
      </c>
      <c r="F60" s="15" t="s">
        <v>1629</v>
      </c>
      <c r="G60" s="15" t="s">
        <v>1630</v>
      </c>
      <c r="H60" s="15" t="s">
        <v>39</v>
      </c>
      <c r="I60" s="15" t="s">
        <v>1631</v>
      </c>
      <c r="J60" s="15" t="s">
        <v>1632</v>
      </c>
      <c r="K60" s="15" t="s">
        <v>1633</v>
      </c>
      <c r="L60" s="15" t="s">
        <v>1634</v>
      </c>
      <c r="M60" s="15" t="s">
        <v>1635</v>
      </c>
      <c r="N60" s="15" t="s">
        <v>1636</v>
      </c>
      <c r="O60" s="16" t="s">
        <v>1637</v>
      </c>
      <c r="P60" s="16" t="s">
        <v>1638</v>
      </c>
      <c r="Q60" s="15" t="s">
        <v>49</v>
      </c>
      <c r="R60" s="15"/>
      <c r="S60" s="15" t="s">
        <v>49</v>
      </c>
      <c r="T60" s="15"/>
      <c r="U60" s="16" t="s">
        <v>1639</v>
      </c>
      <c r="V60" s="15" t="s">
        <v>1640</v>
      </c>
      <c r="W60" s="15" t="s">
        <v>1640</v>
      </c>
      <c r="X60" s="15">
        <v>5</v>
      </c>
      <c r="Y60" s="15">
        <v>1</v>
      </c>
      <c r="Z60" s="15">
        <v>7</v>
      </c>
      <c r="AA60" s="15">
        <v>3</v>
      </c>
      <c r="AB60" s="15">
        <v>4</v>
      </c>
      <c r="AC60" s="15">
        <f t="shared" si="0"/>
        <v>0</v>
      </c>
      <c r="AD60" s="15">
        <f t="shared" si="1"/>
        <v>0</v>
      </c>
      <c r="AE60" s="15">
        <f t="shared" si="2"/>
        <v>20</v>
      </c>
      <c r="AF60" s="15" t="s">
        <v>355</v>
      </c>
    </row>
    <row r="61" spans="1:32" ht="15.75" customHeight="1" x14ac:dyDescent="0.2">
      <c r="A61" s="3" t="s">
        <v>105</v>
      </c>
      <c r="B61" s="3" t="s">
        <v>106</v>
      </c>
      <c r="C61" s="3" t="s">
        <v>107</v>
      </c>
      <c r="D61" s="3" t="s">
        <v>108</v>
      </c>
      <c r="E61" s="3" t="s">
        <v>109</v>
      </c>
      <c r="F61" s="3" t="s">
        <v>110</v>
      </c>
      <c r="G61" s="3" t="s">
        <v>111</v>
      </c>
      <c r="H61" s="3" t="s">
        <v>39</v>
      </c>
      <c r="I61" s="3" t="s">
        <v>112</v>
      </c>
      <c r="J61" s="3" t="s">
        <v>113</v>
      </c>
      <c r="K61" s="3" t="s">
        <v>114</v>
      </c>
      <c r="L61" s="3" t="s">
        <v>115</v>
      </c>
      <c r="M61" s="3" t="s">
        <v>116</v>
      </c>
      <c r="N61" s="3" t="s">
        <v>117</v>
      </c>
      <c r="O61" s="4" t="s">
        <v>118</v>
      </c>
      <c r="P61" s="4" t="s">
        <v>119</v>
      </c>
      <c r="Q61" s="3" t="s">
        <v>49</v>
      </c>
      <c r="R61" s="3"/>
      <c r="S61" s="3" t="s">
        <v>49</v>
      </c>
      <c r="T61" s="3"/>
      <c r="U61" s="4" t="s">
        <v>120</v>
      </c>
      <c r="V61" s="5" t="s">
        <v>121</v>
      </c>
      <c r="W61" s="5" t="s">
        <v>122</v>
      </c>
      <c r="X61" s="5">
        <v>5</v>
      </c>
      <c r="Y61" s="5">
        <v>0</v>
      </c>
      <c r="Z61" s="5">
        <v>6</v>
      </c>
      <c r="AA61" s="5">
        <v>4</v>
      </c>
      <c r="AB61" s="5">
        <v>4</v>
      </c>
      <c r="AC61" s="3">
        <f t="shared" si="0"/>
        <v>5</v>
      </c>
      <c r="AD61" s="3">
        <f t="shared" si="1"/>
        <v>0</v>
      </c>
      <c r="AE61" s="5">
        <f t="shared" si="2"/>
        <v>24</v>
      </c>
      <c r="AF61" s="5" t="s">
        <v>53</v>
      </c>
    </row>
    <row r="62" spans="1:32" ht="15.75" customHeight="1" x14ac:dyDescent="0.2">
      <c r="A62" s="3" t="s">
        <v>320</v>
      </c>
      <c r="B62" s="3" t="s">
        <v>239</v>
      </c>
      <c r="C62" s="3" t="s">
        <v>321</v>
      </c>
      <c r="D62" s="3" t="s">
        <v>322</v>
      </c>
      <c r="E62" s="3" t="s">
        <v>323</v>
      </c>
      <c r="F62" s="3" t="s">
        <v>324</v>
      </c>
      <c r="G62" s="3" t="s">
        <v>325</v>
      </c>
      <c r="H62" s="3" t="s">
        <v>39</v>
      </c>
      <c r="I62" s="3" t="s">
        <v>326</v>
      </c>
      <c r="J62" s="3" t="s">
        <v>327</v>
      </c>
      <c r="K62" s="3" t="s">
        <v>328</v>
      </c>
      <c r="L62" s="3" t="s">
        <v>329</v>
      </c>
      <c r="M62" s="3" t="s">
        <v>330</v>
      </c>
      <c r="N62" s="3" t="s">
        <v>331</v>
      </c>
      <c r="O62" s="4" t="s">
        <v>332</v>
      </c>
      <c r="P62" s="4" t="s">
        <v>333</v>
      </c>
      <c r="Q62" s="3" t="s">
        <v>49</v>
      </c>
      <c r="R62" s="3"/>
      <c r="S62" s="3" t="s">
        <v>49</v>
      </c>
      <c r="T62" s="3"/>
      <c r="U62" s="4" t="s">
        <v>334</v>
      </c>
      <c r="V62" s="5" t="s">
        <v>335</v>
      </c>
      <c r="W62" s="5" t="s">
        <v>335</v>
      </c>
      <c r="X62" s="5">
        <v>5</v>
      </c>
      <c r="Y62" s="5">
        <v>0</v>
      </c>
      <c r="Z62" s="5">
        <v>5</v>
      </c>
      <c r="AA62" s="5">
        <v>3</v>
      </c>
      <c r="AB62" s="5">
        <v>6</v>
      </c>
      <c r="AC62" s="3">
        <f t="shared" si="0"/>
        <v>5</v>
      </c>
      <c r="AD62" s="3">
        <f t="shared" si="1"/>
        <v>0</v>
      </c>
      <c r="AE62" s="5">
        <f t="shared" si="2"/>
        <v>24</v>
      </c>
      <c r="AF62" s="5" t="s">
        <v>336</v>
      </c>
    </row>
    <row r="63" spans="1:32" ht="15.75" customHeight="1" x14ac:dyDescent="0.2">
      <c r="A63" s="3" t="s">
        <v>1371</v>
      </c>
      <c r="B63" s="3" t="s">
        <v>55</v>
      </c>
      <c r="C63" s="3" t="s">
        <v>1372</v>
      </c>
      <c r="D63" s="3" t="s">
        <v>1373</v>
      </c>
      <c r="E63" s="3"/>
      <c r="F63" s="3" t="s">
        <v>1374</v>
      </c>
      <c r="G63" s="3" t="s">
        <v>1375</v>
      </c>
      <c r="H63" s="3" t="s">
        <v>94</v>
      </c>
      <c r="I63" s="3" t="s">
        <v>1376</v>
      </c>
      <c r="J63" s="3" t="s">
        <v>1377</v>
      </c>
      <c r="K63" s="41" t="s">
        <v>1378</v>
      </c>
      <c r="L63" s="3" t="s">
        <v>1379</v>
      </c>
      <c r="M63" s="3" t="s">
        <v>1380</v>
      </c>
      <c r="N63" s="3" t="s">
        <v>1381</v>
      </c>
      <c r="O63" s="4" t="s">
        <v>1382</v>
      </c>
      <c r="P63" s="4" t="s">
        <v>1383</v>
      </c>
      <c r="Q63" s="3" t="s">
        <v>49</v>
      </c>
      <c r="R63" s="3"/>
      <c r="S63" s="3" t="s">
        <v>49</v>
      </c>
      <c r="T63" s="3"/>
      <c r="U63" s="4" t="s">
        <v>1384</v>
      </c>
      <c r="V63" s="5" t="s">
        <v>1385</v>
      </c>
      <c r="W63" s="5" t="s">
        <v>1385</v>
      </c>
      <c r="X63" s="5">
        <v>5</v>
      </c>
      <c r="Y63" s="5">
        <v>1</v>
      </c>
      <c r="Z63" s="5">
        <v>8</v>
      </c>
      <c r="AA63" s="5">
        <v>5</v>
      </c>
      <c r="AB63" s="5">
        <v>0</v>
      </c>
      <c r="AC63" s="3">
        <f t="shared" si="0"/>
        <v>0</v>
      </c>
      <c r="AD63" s="3">
        <f t="shared" si="1"/>
        <v>5</v>
      </c>
      <c r="AE63" s="5">
        <f t="shared" si="2"/>
        <v>24</v>
      </c>
      <c r="AF63" s="5" t="s">
        <v>53</v>
      </c>
    </row>
    <row r="64" spans="1:32" ht="15.75" customHeight="1" x14ac:dyDescent="0.2">
      <c r="A64" s="3" t="s">
        <v>651</v>
      </c>
      <c r="B64" s="3" t="s">
        <v>106</v>
      </c>
      <c r="C64" s="3" t="s">
        <v>652</v>
      </c>
      <c r="D64" s="3" t="s">
        <v>653</v>
      </c>
      <c r="E64" s="3" t="s">
        <v>654</v>
      </c>
      <c r="F64" s="3" t="s">
        <v>655</v>
      </c>
      <c r="G64" s="3" t="s">
        <v>656</v>
      </c>
      <c r="H64" s="3" t="s">
        <v>39</v>
      </c>
      <c r="I64" s="3" t="s">
        <v>657</v>
      </c>
      <c r="J64" s="3" t="s">
        <v>658</v>
      </c>
      <c r="K64" s="3" t="s">
        <v>659</v>
      </c>
      <c r="L64" s="3" t="s">
        <v>660</v>
      </c>
      <c r="M64" s="3" t="s">
        <v>661</v>
      </c>
      <c r="N64" s="3" t="s">
        <v>662</v>
      </c>
      <c r="O64" s="4" t="s">
        <v>663</v>
      </c>
      <c r="P64" s="4" t="s">
        <v>664</v>
      </c>
      <c r="Q64" s="3" t="s">
        <v>49</v>
      </c>
      <c r="R64" s="3"/>
      <c r="S64" s="3" t="s">
        <v>49</v>
      </c>
      <c r="T64" s="3"/>
      <c r="U64" s="4" t="s">
        <v>665</v>
      </c>
      <c r="V64" s="5" t="s">
        <v>666</v>
      </c>
      <c r="W64" s="5" t="s">
        <v>667</v>
      </c>
      <c r="X64" s="5">
        <v>5</v>
      </c>
      <c r="Y64" s="5">
        <v>1</v>
      </c>
      <c r="Z64" s="5">
        <v>8</v>
      </c>
      <c r="AA64" s="5">
        <v>6</v>
      </c>
      <c r="AB64" s="5">
        <v>8</v>
      </c>
      <c r="AC64" s="3">
        <f t="shared" si="0"/>
        <v>5</v>
      </c>
      <c r="AD64" s="3">
        <f t="shared" si="1"/>
        <v>0</v>
      </c>
      <c r="AE64" s="5">
        <f t="shared" si="2"/>
        <v>33</v>
      </c>
      <c r="AF64" s="5" t="s">
        <v>634</v>
      </c>
    </row>
    <row r="65" spans="1:32" ht="15.75" customHeight="1" x14ac:dyDescent="0.2">
      <c r="A65" s="3" t="s">
        <v>732</v>
      </c>
      <c r="B65" s="3" t="s">
        <v>72</v>
      </c>
      <c r="C65" s="3" t="s">
        <v>733</v>
      </c>
      <c r="D65" s="3" t="s">
        <v>734</v>
      </c>
      <c r="E65" s="3" t="s">
        <v>735</v>
      </c>
      <c r="F65" s="3" t="s">
        <v>736</v>
      </c>
      <c r="G65" s="3" t="s">
        <v>737</v>
      </c>
      <c r="H65" s="3" t="s">
        <v>39</v>
      </c>
      <c r="I65" s="3" t="s">
        <v>738</v>
      </c>
      <c r="J65" s="3" t="s">
        <v>739</v>
      </c>
      <c r="K65" s="3" t="s">
        <v>740</v>
      </c>
      <c r="L65" s="3" t="s">
        <v>741</v>
      </c>
      <c r="M65" s="3" t="s">
        <v>742</v>
      </c>
      <c r="N65" s="3" t="s">
        <v>743</v>
      </c>
      <c r="O65" s="4" t="s">
        <v>744</v>
      </c>
      <c r="P65" s="4" t="s">
        <v>745</v>
      </c>
      <c r="Q65" s="3" t="s">
        <v>49</v>
      </c>
      <c r="R65" s="3"/>
      <c r="S65" s="3" t="s">
        <v>49</v>
      </c>
      <c r="T65" s="3"/>
      <c r="U65" s="4" t="s">
        <v>746</v>
      </c>
      <c r="V65" s="5" t="s">
        <v>747</v>
      </c>
      <c r="W65" s="5" t="s">
        <v>748</v>
      </c>
      <c r="X65" s="5">
        <v>5</v>
      </c>
      <c r="Y65" s="5">
        <v>2</v>
      </c>
      <c r="Z65" s="5">
        <v>9</v>
      </c>
      <c r="AA65" s="5">
        <v>3</v>
      </c>
      <c r="AB65" s="5">
        <v>4</v>
      </c>
      <c r="AC65" s="3">
        <f t="shared" si="0"/>
        <v>5</v>
      </c>
      <c r="AD65" s="3">
        <f t="shared" si="1"/>
        <v>0</v>
      </c>
      <c r="AE65" s="5">
        <f t="shared" si="2"/>
        <v>28</v>
      </c>
      <c r="AF65" s="5" t="s">
        <v>53</v>
      </c>
    </row>
    <row r="66" spans="1:32" ht="15.75" customHeight="1" x14ac:dyDescent="0.2">
      <c r="A66" s="3" t="s">
        <v>1819</v>
      </c>
      <c r="B66" s="3" t="s">
        <v>106</v>
      </c>
      <c r="C66" s="3" t="s">
        <v>1820</v>
      </c>
      <c r="D66" s="3" t="s">
        <v>1821</v>
      </c>
      <c r="E66" s="3" t="s">
        <v>1822</v>
      </c>
      <c r="F66" s="3" t="s">
        <v>1823</v>
      </c>
      <c r="G66" s="3" t="s">
        <v>1824</v>
      </c>
      <c r="H66" s="3" t="s">
        <v>94</v>
      </c>
      <c r="I66" s="3" t="s">
        <v>1825</v>
      </c>
      <c r="J66" s="3" t="s">
        <v>1697</v>
      </c>
      <c r="K66" s="3" t="s">
        <v>1826</v>
      </c>
      <c r="L66" s="3" t="s">
        <v>1827</v>
      </c>
      <c r="M66" s="3" t="s">
        <v>1828</v>
      </c>
      <c r="N66" s="3" t="s">
        <v>1829</v>
      </c>
      <c r="O66" s="4" t="s">
        <v>1830</v>
      </c>
      <c r="P66" s="4" t="s">
        <v>1831</v>
      </c>
      <c r="Q66" s="3" t="s">
        <v>48</v>
      </c>
      <c r="R66" s="3" t="s">
        <v>1832</v>
      </c>
      <c r="S66" s="3" t="s">
        <v>49</v>
      </c>
      <c r="T66" s="3"/>
      <c r="U66" s="4" t="s">
        <v>1833</v>
      </c>
      <c r="V66" s="5" t="s">
        <v>1834</v>
      </c>
      <c r="W66" s="5" t="s">
        <v>1834</v>
      </c>
      <c r="X66" s="5">
        <v>5</v>
      </c>
      <c r="Y66" s="5">
        <v>3</v>
      </c>
      <c r="Z66" s="5">
        <v>7</v>
      </c>
      <c r="AA66" s="5">
        <v>4</v>
      </c>
      <c r="AB66" s="5">
        <v>4</v>
      </c>
      <c r="AC66" s="3">
        <f t="shared" si="0"/>
        <v>5</v>
      </c>
      <c r="AD66" s="3">
        <f t="shared" si="1"/>
        <v>5</v>
      </c>
      <c r="AE66" s="5">
        <f t="shared" si="2"/>
        <v>33</v>
      </c>
      <c r="AF66" s="5" t="s">
        <v>53</v>
      </c>
    </row>
    <row r="67" spans="1:32" ht="15.75" customHeight="1" x14ac:dyDescent="0.2">
      <c r="A67" s="3" t="s">
        <v>1885</v>
      </c>
      <c r="B67" s="3" t="s">
        <v>55</v>
      </c>
      <c r="C67" s="3" t="s">
        <v>1886</v>
      </c>
      <c r="D67" s="3" t="s">
        <v>1887</v>
      </c>
      <c r="E67" s="3" t="s">
        <v>1888</v>
      </c>
      <c r="F67" s="3" t="s">
        <v>1889</v>
      </c>
      <c r="G67" s="3" t="s">
        <v>1890</v>
      </c>
      <c r="H67" s="3" t="s">
        <v>39</v>
      </c>
      <c r="I67" s="3" t="s">
        <v>1891</v>
      </c>
      <c r="J67" s="3" t="s">
        <v>1892</v>
      </c>
      <c r="K67" s="3" t="s">
        <v>1893</v>
      </c>
      <c r="L67" s="3" t="s">
        <v>1894</v>
      </c>
      <c r="M67" s="3" t="s">
        <v>1895</v>
      </c>
      <c r="N67" s="3" t="s">
        <v>1896</v>
      </c>
      <c r="O67" s="4" t="s">
        <v>1897</v>
      </c>
      <c r="P67" s="4" t="s">
        <v>1898</v>
      </c>
      <c r="Q67" s="3" t="s">
        <v>48</v>
      </c>
      <c r="R67" s="3"/>
      <c r="S67" s="3" t="s">
        <v>49</v>
      </c>
      <c r="T67" s="3"/>
      <c r="U67" s="4" t="s">
        <v>1899</v>
      </c>
      <c r="V67" s="5" t="s">
        <v>1900</v>
      </c>
      <c r="W67" s="5" t="s">
        <v>1900</v>
      </c>
      <c r="X67" s="5">
        <v>5</v>
      </c>
      <c r="Y67" s="5">
        <v>0</v>
      </c>
      <c r="Z67" s="5">
        <v>8</v>
      </c>
      <c r="AA67" s="5">
        <v>3</v>
      </c>
      <c r="AB67" s="5">
        <v>4</v>
      </c>
      <c r="AC67" s="3">
        <f t="shared" si="0"/>
        <v>0</v>
      </c>
      <c r="AD67" s="3">
        <f t="shared" si="1"/>
        <v>0</v>
      </c>
      <c r="AE67" s="5">
        <f t="shared" si="2"/>
        <v>20</v>
      </c>
      <c r="AF67" s="5" t="s">
        <v>53</v>
      </c>
    </row>
    <row r="68" spans="1:32" ht="15.75" customHeight="1" x14ac:dyDescent="0.2">
      <c r="A68" s="3" t="s">
        <v>154</v>
      </c>
      <c r="B68" s="3" t="s">
        <v>72</v>
      </c>
      <c r="C68" s="3" t="s">
        <v>155</v>
      </c>
      <c r="D68" s="3" t="s">
        <v>156</v>
      </c>
      <c r="E68" s="3" t="s">
        <v>157</v>
      </c>
      <c r="F68" s="3" t="s">
        <v>158</v>
      </c>
      <c r="G68" s="3" t="s">
        <v>159</v>
      </c>
      <c r="H68" s="3" t="s">
        <v>39</v>
      </c>
      <c r="I68" s="3" t="s">
        <v>160</v>
      </c>
      <c r="J68" s="3" t="s">
        <v>161</v>
      </c>
      <c r="K68" s="3" t="s">
        <v>162</v>
      </c>
      <c r="L68" s="3" t="s">
        <v>163</v>
      </c>
      <c r="M68" s="3" t="s">
        <v>164</v>
      </c>
      <c r="N68" s="3" t="s">
        <v>165</v>
      </c>
      <c r="O68" s="4" t="s">
        <v>166</v>
      </c>
      <c r="P68" s="4" t="s">
        <v>167</v>
      </c>
      <c r="Q68" s="3" t="s">
        <v>48</v>
      </c>
      <c r="R68" s="3"/>
      <c r="S68" s="3" t="s">
        <v>49</v>
      </c>
      <c r="T68" s="3"/>
      <c r="U68" s="4" t="s">
        <v>168</v>
      </c>
      <c r="V68" s="5" t="s">
        <v>169</v>
      </c>
      <c r="W68" s="5" t="s">
        <v>170</v>
      </c>
      <c r="X68" s="5">
        <v>5</v>
      </c>
      <c r="Y68" s="5">
        <v>1</v>
      </c>
      <c r="Z68" s="5">
        <v>5</v>
      </c>
      <c r="AA68" s="5">
        <v>3</v>
      </c>
      <c r="AB68" s="5">
        <v>2</v>
      </c>
      <c r="AC68" s="3">
        <f t="shared" si="0"/>
        <v>5</v>
      </c>
      <c r="AD68" s="3">
        <f t="shared" si="1"/>
        <v>0</v>
      </c>
      <c r="AE68" s="5">
        <f t="shared" si="2"/>
        <v>21</v>
      </c>
      <c r="AF68" s="5" t="s">
        <v>53</v>
      </c>
    </row>
    <row r="69" spans="1:32" ht="15.75" customHeight="1" x14ac:dyDescent="0.2">
      <c r="A69" s="3" t="s">
        <v>187</v>
      </c>
      <c r="B69" s="3" t="s">
        <v>188</v>
      </c>
      <c r="C69" s="3" t="s">
        <v>189</v>
      </c>
      <c r="D69" s="3" t="s">
        <v>190</v>
      </c>
      <c r="E69" s="3" t="s">
        <v>191</v>
      </c>
      <c r="F69" s="3" t="s">
        <v>192</v>
      </c>
      <c r="G69" s="3" t="s">
        <v>193</v>
      </c>
      <c r="H69" s="3" t="s">
        <v>94</v>
      </c>
      <c r="I69" s="3" t="s">
        <v>194</v>
      </c>
      <c r="J69" s="3" t="s">
        <v>194</v>
      </c>
      <c r="K69" s="3" t="s">
        <v>195</v>
      </c>
      <c r="L69" s="3" t="s">
        <v>196</v>
      </c>
      <c r="M69" s="3" t="s">
        <v>197</v>
      </c>
      <c r="N69" s="3" t="s">
        <v>198</v>
      </c>
      <c r="O69" s="4" t="s">
        <v>199</v>
      </c>
      <c r="P69" s="4" t="s">
        <v>200</v>
      </c>
      <c r="Q69" s="3" t="s">
        <v>48</v>
      </c>
      <c r="R69" s="3"/>
      <c r="S69" s="3" t="s">
        <v>49</v>
      </c>
      <c r="T69" s="3"/>
      <c r="U69" s="4" t="s">
        <v>201</v>
      </c>
      <c r="V69" s="5" t="s">
        <v>202</v>
      </c>
      <c r="W69" s="5"/>
      <c r="X69" s="5">
        <v>5</v>
      </c>
      <c r="Y69" s="5">
        <v>0</v>
      </c>
      <c r="Z69" s="5">
        <v>8</v>
      </c>
      <c r="AA69" s="5">
        <v>3</v>
      </c>
      <c r="AB69" s="5">
        <v>0</v>
      </c>
      <c r="AC69" s="3">
        <f t="shared" si="0"/>
        <v>5</v>
      </c>
      <c r="AD69" s="3">
        <f t="shared" si="1"/>
        <v>5</v>
      </c>
      <c r="AE69" s="5">
        <f t="shared" si="2"/>
        <v>26</v>
      </c>
      <c r="AF69" s="5" t="s">
        <v>53</v>
      </c>
    </row>
    <row r="70" spans="1:32" ht="15.75" customHeight="1" x14ac:dyDescent="0.2">
      <c r="A70" s="3" t="s">
        <v>387</v>
      </c>
      <c r="B70" s="3" t="s">
        <v>72</v>
      </c>
      <c r="C70" s="3" t="s">
        <v>388</v>
      </c>
      <c r="D70" s="3" t="s">
        <v>389</v>
      </c>
      <c r="E70" s="3" t="s">
        <v>389</v>
      </c>
      <c r="F70" s="3" t="s">
        <v>390</v>
      </c>
      <c r="G70" s="3" t="s">
        <v>391</v>
      </c>
      <c r="H70" s="3" t="s">
        <v>39</v>
      </c>
      <c r="I70" s="3" t="s">
        <v>392</v>
      </c>
      <c r="J70" s="3" t="s">
        <v>393</v>
      </c>
      <c r="K70" s="3" t="s">
        <v>394</v>
      </c>
      <c r="L70" s="3" t="s">
        <v>395</v>
      </c>
      <c r="M70" s="3" t="s">
        <v>396</v>
      </c>
      <c r="N70" s="3" t="s">
        <v>397</v>
      </c>
      <c r="O70" s="42" t="s">
        <v>398</v>
      </c>
      <c r="P70" s="4" t="s">
        <v>399</v>
      </c>
      <c r="Q70" s="3" t="s">
        <v>48</v>
      </c>
      <c r="R70" s="3"/>
      <c r="S70" s="3" t="s">
        <v>49</v>
      </c>
      <c r="T70" s="3"/>
      <c r="U70" s="4" t="s">
        <v>400</v>
      </c>
      <c r="V70" s="5" t="s">
        <v>401</v>
      </c>
      <c r="W70" s="5" t="s">
        <v>402</v>
      </c>
      <c r="X70" s="5">
        <v>5</v>
      </c>
      <c r="Y70" s="5">
        <v>2</v>
      </c>
      <c r="Z70" s="5">
        <v>7</v>
      </c>
      <c r="AA70" s="5">
        <v>3</v>
      </c>
      <c r="AB70" s="5">
        <v>4</v>
      </c>
      <c r="AC70" s="3">
        <f t="shared" si="0"/>
        <v>5</v>
      </c>
      <c r="AD70" s="3">
        <f t="shared" si="1"/>
        <v>0</v>
      </c>
      <c r="AE70" s="5">
        <f t="shared" si="2"/>
        <v>26</v>
      </c>
      <c r="AF70" s="5" t="s">
        <v>53</v>
      </c>
    </row>
    <row r="71" spans="1:32" ht="15.75" customHeight="1" x14ac:dyDescent="0.2">
      <c r="A71" s="3" t="s">
        <v>1580</v>
      </c>
      <c r="B71" s="3" t="s">
        <v>106</v>
      </c>
      <c r="C71" s="3" t="s">
        <v>1581</v>
      </c>
      <c r="D71" s="3" t="s">
        <v>1582</v>
      </c>
      <c r="E71" s="3" t="s">
        <v>1583</v>
      </c>
      <c r="F71" s="3" t="s">
        <v>1584</v>
      </c>
      <c r="G71" s="3" t="s">
        <v>1585</v>
      </c>
      <c r="H71" s="3" t="s">
        <v>39</v>
      </c>
      <c r="I71" s="3" t="s">
        <v>1586</v>
      </c>
      <c r="J71" s="3" t="s">
        <v>1587</v>
      </c>
      <c r="K71" s="3" t="s">
        <v>1588</v>
      </c>
      <c r="L71" s="3" t="s">
        <v>1589</v>
      </c>
      <c r="M71" s="3" t="s">
        <v>1590</v>
      </c>
      <c r="N71" s="3" t="s">
        <v>1591</v>
      </c>
      <c r="O71" s="4" t="s">
        <v>1592</v>
      </c>
      <c r="P71" s="4" t="s">
        <v>1593</v>
      </c>
      <c r="Q71" s="3" t="s">
        <v>49</v>
      </c>
      <c r="R71" s="3"/>
      <c r="S71" s="3" t="s">
        <v>49</v>
      </c>
      <c r="T71" s="3"/>
      <c r="U71" s="4" t="s">
        <v>1594</v>
      </c>
      <c r="V71" s="5" t="s">
        <v>1595</v>
      </c>
      <c r="W71" s="5" t="s">
        <v>1595</v>
      </c>
      <c r="X71" s="5">
        <v>5</v>
      </c>
      <c r="Y71" s="5">
        <v>0</v>
      </c>
      <c r="Z71" s="5">
        <v>6</v>
      </c>
      <c r="AA71" s="5">
        <v>3</v>
      </c>
      <c r="AB71" s="5">
        <v>2</v>
      </c>
      <c r="AC71" s="3">
        <f t="shared" si="0"/>
        <v>5</v>
      </c>
      <c r="AD71" s="3">
        <f t="shared" si="1"/>
        <v>0</v>
      </c>
      <c r="AE71" s="5">
        <f t="shared" si="2"/>
        <v>21</v>
      </c>
      <c r="AF71" s="5" t="s">
        <v>53</v>
      </c>
    </row>
    <row r="72" spans="1:32" ht="15.75" customHeight="1" x14ac:dyDescent="0.2">
      <c r="A72" s="3" t="s">
        <v>828</v>
      </c>
      <c r="B72" s="3" t="s">
        <v>72</v>
      </c>
      <c r="C72" s="3" t="s">
        <v>829</v>
      </c>
      <c r="D72" s="3" t="s">
        <v>830</v>
      </c>
      <c r="E72" s="3" t="s">
        <v>831</v>
      </c>
      <c r="F72" s="3" t="s">
        <v>832</v>
      </c>
      <c r="G72" s="3" t="s">
        <v>833</v>
      </c>
      <c r="H72" s="3" t="s">
        <v>39</v>
      </c>
      <c r="I72" s="3" t="s">
        <v>834</v>
      </c>
      <c r="J72" s="3" t="s">
        <v>835</v>
      </c>
      <c r="K72" s="3" t="s">
        <v>836</v>
      </c>
      <c r="L72" s="3" t="s">
        <v>837</v>
      </c>
      <c r="M72" s="3" t="s">
        <v>838</v>
      </c>
      <c r="N72" s="3" t="s">
        <v>839</v>
      </c>
      <c r="O72" s="4" t="s">
        <v>840</v>
      </c>
      <c r="P72" s="4" t="s">
        <v>841</v>
      </c>
      <c r="Q72" s="3" t="s">
        <v>49</v>
      </c>
      <c r="R72" s="3"/>
      <c r="S72" s="3" t="s">
        <v>49</v>
      </c>
      <c r="T72" s="3"/>
      <c r="U72" s="4" t="s">
        <v>842</v>
      </c>
      <c r="V72" s="5" t="s">
        <v>843</v>
      </c>
      <c r="W72" s="5" t="s">
        <v>843</v>
      </c>
      <c r="X72" s="5">
        <v>5</v>
      </c>
      <c r="Y72" s="5">
        <v>0</v>
      </c>
      <c r="Z72" s="5">
        <v>7</v>
      </c>
      <c r="AA72" s="5">
        <v>1</v>
      </c>
      <c r="AB72" s="5">
        <v>2</v>
      </c>
      <c r="AC72" s="3">
        <f t="shared" si="0"/>
        <v>5</v>
      </c>
      <c r="AD72" s="3">
        <f t="shared" si="1"/>
        <v>0</v>
      </c>
      <c r="AE72" s="5">
        <f t="shared" si="2"/>
        <v>20</v>
      </c>
      <c r="AF72" s="5" t="s">
        <v>53</v>
      </c>
    </row>
    <row r="73" spans="1:32" ht="15.75" customHeight="1" x14ac:dyDescent="0.2">
      <c r="A73" s="3" t="s">
        <v>668</v>
      </c>
      <c r="B73" s="3" t="s">
        <v>239</v>
      </c>
      <c r="C73" s="3" t="s">
        <v>669</v>
      </c>
      <c r="D73" s="3" t="s">
        <v>670</v>
      </c>
      <c r="E73" s="3" t="s">
        <v>671</v>
      </c>
      <c r="F73" s="3" t="s">
        <v>672</v>
      </c>
      <c r="G73" s="3" t="s">
        <v>673</v>
      </c>
      <c r="H73" s="3" t="s">
        <v>94</v>
      </c>
      <c r="I73" s="3" t="s">
        <v>674</v>
      </c>
      <c r="J73" s="3" t="s">
        <v>675</v>
      </c>
      <c r="K73" s="3" t="s">
        <v>676</v>
      </c>
      <c r="L73" s="3" t="s">
        <v>677</v>
      </c>
      <c r="M73" s="3" t="s">
        <v>678</v>
      </c>
      <c r="N73" s="3" t="s">
        <v>679</v>
      </c>
      <c r="O73" s="4" t="s">
        <v>680</v>
      </c>
      <c r="P73" s="4" t="s">
        <v>681</v>
      </c>
      <c r="Q73" s="3" t="s">
        <v>48</v>
      </c>
      <c r="R73" s="3"/>
      <c r="S73" s="3" t="s">
        <v>49</v>
      </c>
      <c r="T73" s="3"/>
      <c r="U73" s="4" t="s">
        <v>682</v>
      </c>
      <c r="V73" s="5" t="s">
        <v>683</v>
      </c>
      <c r="W73" s="5" t="s">
        <v>684</v>
      </c>
      <c r="X73" s="5">
        <v>5</v>
      </c>
      <c r="Y73" s="5">
        <v>1</v>
      </c>
      <c r="Z73" s="5">
        <v>4</v>
      </c>
      <c r="AA73" s="5">
        <v>2</v>
      </c>
      <c r="AB73" s="5">
        <v>2</v>
      </c>
      <c r="AC73" s="3">
        <f t="shared" si="0"/>
        <v>5</v>
      </c>
      <c r="AD73" s="3">
        <f t="shared" si="1"/>
        <v>5</v>
      </c>
      <c r="AE73" s="5">
        <f t="shared" si="2"/>
        <v>24</v>
      </c>
      <c r="AF73" s="5" t="s">
        <v>53</v>
      </c>
    </row>
    <row r="74" spans="1:32" ht="15.75" customHeight="1" x14ac:dyDescent="0.2">
      <c r="A74" s="3" t="s">
        <v>1289</v>
      </c>
      <c r="B74" s="3" t="s">
        <v>72</v>
      </c>
      <c r="C74" s="3" t="s">
        <v>1290</v>
      </c>
      <c r="D74" s="3" t="s">
        <v>1291</v>
      </c>
      <c r="E74" s="3" t="s">
        <v>1292</v>
      </c>
      <c r="F74" s="3" t="s">
        <v>1293</v>
      </c>
      <c r="G74" s="3" t="s">
        <v>1294</v>
      </c>
      <c r="H74" s="3" t="s">
        <v>94</v>
      </c>
      <c r="I74" s="3" t="s">
        <v>1295</v>
      </c>
      <c r="J74" s="3" t="s">
        <v>1296</v>
      </c>
      <c r="K74" s="41" t="s">
        <v>1297</v>
      </c>
      <c r="L74" s="41" t="s">
        <v>1298</v>
      </c>
      <c r="M74" s="3" t="s">
        <v>1299</v>
      </c>
      <c r="N74" s="3" t="s">
        <v>1300</v>
      </c>
      <c r="O74" s="42" t="s">
        <v>1301</v>
      </c>
      <c r="P74" s="4" t="s">
        <v>1302</v>
      </c>
      <c r="Q74" s="3" t="s">
        <v>48</v>
      </c>
      <c r="R74" s="3"/>
      <c r="S74" s="3" t="s">
        <v>49</v>
      </c>
      <c r="T74" s="3"/>
      <c r="U74" s="4" t="s">
        <v>1303</v>
      </c>
      <c r="V74" s="5" t="s">
        <v>1304</v>
      </c>
      <c r="W74" s="5"/>
      <c r="X74" s="5">
        <v>5</v>
      </c>
      <c r="Y74" s="5">
        <v>0</v>
      </c>
      <c r="Z74" s="5">
        <v>5</v>
      </c>
      <c r="AA74" s="5">
        <v>4</v>
      </c>
      <c r="AB74" s="5">
        <v>0</v>
      </c>
      <c r="AC74" s="3">
        <f t="shared" si="0"/>
        <v>5</v>
      </c>
      <c r="AD74" s="3">
        <f t="shared" si="1"/>
        <v>5</v>
      </c>
      <c r="AE74" s="5">
        <f t="shared" si="2"/>
        <v>24</v>
      </c>
      <c r="AF74" s="5" t="s">
        <v>53</v>
      </c>
    </row>
    <row r="75" spans="1:32" ht="15.75" customHeight="1" x14ac:dyDescent="0.2">
      <c r="A75" s="3" t="s">
        <v>1547</v>
      </c>
      <c r="B75" s="3" t="s">
        <v>106</v>
      </c>
      <c r="C75" s="3" t="s">
        <v>1548</v>
      </c>
      <c r="D75" s="3" t="s">
        <v>1549</v>
      </c>
      <c r="E75" s="3" t="s">
        <v>1550</v>
      </c>
      <c r="F75" s="3" t="s">
        <v>1551</v>
      </c>
      <c r="G75" s="3" t="s">
        <v>1552</v>
      </c>
      <c r="H75" s="3" t="s">
        <v>39</v>
      </c>
      <c r="I75" s="3" t="s">
        <v>1553</v>
      </c>
      <c r="J75" s="3" t="s">
        <v>410</v>
      </c>
      <c r="K75" s="3" t="s">
        <v>1554</v>
      </c>
      <c r="L75" s="3" t="s">
        <v>1555</v>
      </c>
      <c r="M75" s="3" t="s">
        <v>1556</v>
      </c>
      <c r="N75" s="3" t="s">
        <v>1557</v>
      </c>
      <c r="O75" s="4" t="s">
        <v>1558</v>
      </c>
      <c r="P75" s="4" t="s">
        <v>1559</v>
      </c>
      <c r="Q75" s="3" t="s">
        <v>48</v>
      </c>
      <c r="R75" s="3" t="s">
        <v>1560</v>
      </c>
      <c r="S75" s="3" t="s">
        <v>48</v>
      </c>
      <c r="T75" s="3" t="s">
        <v>1561</v>
      </c>
      <c r="U75" s="4" t="s">
        <v>1562</v>
      </c>
      <c r="V75" s="5" t="s">
        <v>1563</v>
      </c>
      <c r="W75" s="5"/>
      <c r="X75" s="5">
        <v>5</v>
      </c>
      <c r="Y75" s="5">
        <v>1</v>
      </c>
      <c r="Z75" s="5">
        <v>7</v>
      </c>
      <c r="AA75" s="5">
        <v>5</v>
      </c>
      <c r="AB75" s="5">
        <v>0</v>
      </c>
      <c r="AC75" s="3">
        <f t="shared" si="0"/>
        <v>5</v>
      </c>
      <c r="AD75" s="3">
        <f t="shared" si="1"/>
        <v>0</v>
      </c>
      <c r="AE75" s="5">
        <f t="shared" si="2"/>
        <v>23</v>
      </c>
      <c r="AF75" s="5" t="s">
        <v>53</v>
      </c>
    </row>
    <row r="76" spans="1:32" ht="15.75" customHeight="1" x14ac:dyDescent="0.2">
      <c r="A76" s="3" t="s">
        <v>1386</v>
      </c>
      <c r="B76" s="3" t="s">
        <v>239</v>
      </c>
      <c r="C76" s="3" t="s">
        <v>1387</v>
      </c>
      <c r="D76" s="3" t="s">
        <v>1388</v>
      </c>
      <c r="E76" s="3" t="s">
        <v>1389</v>
      </c>
      <c r="F76" s="3" t="s">
        <v>1390</v>
      </c>
      <c r="G76" s="3" t="s">
        <v>1391</v>
      </c>
      <c r="H76" s="3" t="s">
        <v>39</v>
      </c>
      <c r="I76" s="3" t="s">
        <v>1392</v>
      </c>
      <c r="J76" s="3" t="s">
        <v>658</v>
      </c>
      <c r="K76" s="3" t="s">
        <v>1393</v>
      </c>
      <c r="L76" s="3" t="s">
        <v>1394</v>
      </c>
      <c r="M76" s="3" t="s">
        <v>1395</v>
      </c>
      <c r="N76" s="3" t="s">
        <v>1396</v>
      </c>
      <c r="O76" s="4" t="s">
        <v>1397</v>
      </c>
      <c r="P76" s="4" t="s">
        <v>1398</v>
      </c>
      <c r="Q76" s="3" t="s">
        <v>48</v>
      </c>
      <c r="R76" s="3"/>
      <c r="S76" s="3" t="s">
        <v>49</v>
      </c>
      <c r="T76" s="3"/>
      <c r="U76" s="4" t="s">
        <v>1399</v>
      </c>
      <c r="V76" s="5" t="s">
        <v>1400</v>
      </c>
      <c r="W76" s="5"/>
      <c r="X76" s="5">
        <v>5</v>
      </c>
      <c r="Y76" s="5">
        <v>1</v>
      </c>
      <c r="Z76" s="5">
        <v>7</v>
      </c>
      <c r="AA76" s="5">
        <v>4</v>
      </c>
      <c r="AB76" s="5">
        <v>0</v>
      </c>
      <c r="AC76" s="3">
        <f t="shared" si="0"/>
        <v>5</v>
      </c>
      <c r="AD76" s="3">
        <f t="shared" si="1"/>
        <v>0</v>
      </c>
      <c r="AE76" s="5">
        <f t="shared" si="2"/>
        <v>22</v>
      </c>
      <c r="AF76" s="5" t="s">
        <v>53</v>
      </c>
    </row>
    <row r="77" spans="1:32" ht="15.75" customHeight="1" x14ac:dyDescent="0.2">
      <c r="A77" s="3" t="s">
        <v>238</v>
      </c>
      <c r="B77" s="3" t="s">
        <v>239</v>
      </c>
      <c r="C77" s="3" t="s">
        <v>240</v>
      </c>
      <c r="D77" s="3" t="s">
        <v>241</v>
      </c>
      <c r="E77" s="3" t="s">
        <v>242</v>
      </c>
      <c r="F77" s="3" t="s">
        <v>243</v>
      </c>
      <c r="G77" s="3" t="s">
        <v>244</v>
      </c>
      <c r="H77" s="3" t="s">
        <v>94</v>
      </c>
      <c r="I77" s="3" t="s">
        <v>245</v>
      </c>
      <c r="J77" s="3" t="s">
        <v>246</v>
      </c>
      <c r="K77" s="3" t="s">
        <v>247</v>
      </c>
      <c r="L77" s="3" t="s">
        <v>248</v>
      </c>
      <c r="M77" s="3" t="s">
        <v>249</v>
      </c>
      <c r="N77" s="3" t="s">
        <v>250</v>
      </c>
      <c r="O77" s="4" t="s">
        <v>251</v>
      </c>
      <c r="P77" s="4" t="s">
        <v>252</v>
      </c>
      <c r="Q77" s="3" t="s">
        <v>48</v>
      </c>
      <c r="R77" s="3"/>
      <c r="S77" s="3" t="s">
        <v>49</v>
      </c>
      <c r="T77" s="3"/>
      <c r="U77" s="4" t="s">
        <v>253</v>
      </c>
      <c r="V77" s="5" t="s">
        <v>254</v>
      </c>
      <c r="W77" s="5"/>
      <c r="X77" s="5">
        <v>5</v>
      </c>
      <c r="Y77" s="5">
        <v>0</v>
      </c>
      <c r="Z77" s="5">
        <v>4</v>
      </c>
      <c r="AA77" s="5">
        <v>1</v>
      </c>
      <c r="AB77" s="5">
        <v>0</v>
      </c>
      <c r="AC77" s="3">
        <f t="shared" si="0"/>
        <v>5</v>
      </c>
      <c r="AD77" s="3">
        <f t="shared" si="1"/>
        <v>5</v>
      </c>
      <c r="AE77" s="5">
        <f t="shared" si="2"/>
        <v>20</v>
      </c>
      <c r="AF77" s="5" t="s">
        <v>53</v>
      </c>
    </row>
    <row r="78" spans="1:32" ht="15.75" customHeight="1" x14ac:dyDescent="0.2">
      <c r="A78" s="3" t="s">
        <v>1259</v>
      </c>
      <c r="B78" s="3" t="s">
        <v>106</v>
      </c>
      <c r="C78" s="3" t="s">
        <v>1260</v>
      </c>
      <c r="D78" s="3" t="s">
        <v>1261</v>
      </c>
      <c r="E78" s="3" t="s">
        <v>1262</v>
      </c>
      <c r="F78" s="3" t="s">
        <v>1263</v>
      </c>
      <c r="G78" s="3" t="s">
        <v>1264</v>
      </c>
      <c r="H78" s="3" t="s">
        <v>39</v>
      </c>
      <c r="I78" s="3" t="s">
        <v>1265</v>
      </c>
      <c r="J78" s="3" t="s">
        <v>1266</v>
      </c>
      <c r="K78" s="3" t="s">
        <v>1267</v>
      </c>
      <c r="L78" s="3" t="s">
        <v>1268</v>
      </c>
      <c r="M78" s="3" t="s">
        <v>1269</v>
      </c>
      <c r="N78" s="3" t="s">
        <v>1270</v>
      </c>
      <c r="O78" s="4" t="s">
        <v>1271</v>
      </c>
      <c r="P78" s="4" t="s">
        <v>1272</v>
      </c>
      <c r="Q78" s="3" t="s">
        <v>48</v>
      </c>
      <c r="R78" s="3"/>
      <c r="S78" s="3" t="s">
        <v>48</v>
      </c>
      <c r="T78" s="3"/>
      <c r="U78" s="4" t="s">
        <v>1273</v>
      </c>
      <c r="V78" s="5" t="s">
        <v>1274</v>
      </c>
      <c r="W78" s="5"/>
      <c r="X78" s="5">
        <v>5</v>
      </c>
      <c r="Y78" s="5">
        <v>1</v>
      </c>
      <c r="Z78" s="5">
        <v>6</v>
      </c>
      <c r="AA78" s="5">
        <v>3</v>
      </c>
      <c r="AB78" s="5">
        <v>0</v>
      </c>
      <c r="AC78" s="3">
        <f t="shared" si="0"/>
        <v>5</v>
      </c>
      <c r="AD78" s="3">
        <f t="shared" si="1"/>
        <v>0</v>
      </c>
      <c r="AE78" s="5">
        <f t="shared" si="2"/>
        <v>20</v>
      </c>
      <c r="AF78" s="5" t="s">
        <v>53</v>
      </c>
    </row>
    <row r="79" spans="1:32" ht="15.75" customHeight="1" x14ac:dyDescent="0.2">
      <c r="A79" s="3" t="s">
        <v>1773</v>
      </c>
      <c r="B79" s="3" t="s">
        <v>72</v>
      </c>
      <c r="C79" s="3" t="s">
        <v>1774</v>
      </c>
      <c r="D79" s="3" t="s">
        <v>1775</v>
      </c>
      <c r="E79" s="3" t="s">
        <v>1776</v>
      </c>
      <c r="F79" s="3" t="s">
        <v>1777</v>
      </c>
      <c r="G79" s="3" t="s">
        <v>1778</v>
      </c>
      <c r="H79" s="3" t="s">
        <v>39</v>
      </c>
      <c r="I79" s="3" t="s">
        <v>1779</v>
      </c>
      <c r="J79" s="3" t="s">
        <v>1780</v>
      </c>
      <c r="K79" s="3" t="s">
        <v>1781</v>
      </c>
      <c r="L79" s="3" t="s">
        <v>1782</v>
      </c>
      <c r="M79" s="3" t="s">
        <v>1783</v>
      </c>
      <c r="N79" s="3" t="s">
        <v>1784</v>
      </c>
      <c r="O79" s="4" t="s">
        <v>1785</v>
      </c>
      <c r="P79" s="4" t="s">
        <v>1786</v>
      </c>
      <c r="Q79" s="3" t="s">
        <v>48</v>
      </c>
      <c r="R79" s="3"/>
      <c r="S79" s="3" t="s">
        <v>48</v>
      </c>
      <c r="T79" s="3"/>
      <c r="U79" s="4" t="s">
        <v>1787</v>
      </c>
      <c r="V79" s="5" t="s">
        <v>1788</v>
      </c>
      <c r="W79" s="5"/>
      <c r="X79" s="5">
        <v>5</v>
      </c>
      <c r="Y79" s="5">
        <v>1</v>
      </c>
      <c r="Z79" s="5">
        <v>5</v>
      </c>
      <c r="AA79" s="5">
        <v>4</v>
      </c>
      <c r="AB79" s="5">
        <v>0</v>
      </c>
      <c r="AC79" s="3">
        <f t="shared" si="0"/>
        <v>5</v>
      </c>
      <c r="AD79" s="3">
        <f t="shared" si="1"/>
        <v>0</v>
      </c>
      <c r="AE79" s="5">
        <f t="shared" si="2"/>
        <v>20</v>
      </c>
      <c r="AF79" s="5" t="s">
        <v>53</v>
      </c>
    </row>
    <row r="80" spans="1:32" ht="15.75" customHeight="1" x14ac:dyDescent="0.2">
      <c r="A80" s="3" t="s">
        <v>271</v>
      </c>
      <c r="B80" s="3" t="s">
        <v>106</v>
      </c>
      <c r="C80" s="3" t="s">
        <v>272</v>
      </c>
      <c r="D80" s="3" t="s">
        <v>273</v>
      </c>
      <c r="E80" s="3" t="s">
        <v>274</v>
      </c>
      <c r="F80" s="3" t="s">
        <v>275</v>
      </c>
      <c r="G80" s="3" t="s">
        <v>276</v>
      </c>
      <c r="H80" s="3" t="s">
        <v>39</v>
      </c>
      <c r="I80" s="3" t="s">
        <v>277</v>
      </c>
      <c r="J80" s="3" t="s">
        <v>278</v>
      </c>
      <c r="K80" s="3" t="s">
        <v>279</v>
      </c>
      <c r="L80" s="3" t="s">
        <v>280</v>
      </c>
      <c r="M80" s="3" t="s">
        <v>281</v>
      </c>
      <c r="N80" s="3" t="s">
        <v>282</v>
      </c>
      <c r="O80" s="4" t="s">
        <v>283</v>
      </c>
      <c r="P80" s="4" t="s">
        <v>284</v>
      </c>
      <c r="Q80" s="3" t="s">
        <v>49</v>
      </c>
      <c r="R80" s="3"/>
      <c r="S80" s="3" t="s">
        <v>48</v>
      </c>
      <c r="T80" s="3"/>
      <c r="U80" s="4" t="s">
        <v>285</v>
      </c>
      <c r="V80" s="5" t="s">
        <v>286</v>
      </c>
      <c r="W80" s="5"/>
      <c r="X80" s="5">
        <v>5</v>
      </c>
      <c r="Y80" s="5">
        <v>1</v>
      </c>
      <c r="Z80" s="5">
        <v>5</v>
      </c>
      <c r="AA80" s="5">
        <v>3</v>
      </c>
      <c r="AB80" s="5">
        <v>0</v>
      </c>
      <c r="AC80" s="3">
        <f t="shared" si="0"/>
        <v>5</v>
      </c>
      <c r="AD80" s="3">
        <f t="shared" si="1"/>
        <v>0</v>
      </c>
      <c r="AE80" s="5">
        <f t="shared" si="2"/>
        <v>19</v>
      </c>
      <c r="AF80" s="5" t="s">
        <v>53</v>
      </c>
    </row>
    <row r="81" spans="1:32" ht="15.75" customHeight="1" x14ac:dyDescent="0.2">
      <c r="A81" s="3" t="s">
        <v>1901</v>
      </c>
      <c r="B81" s="3" t="s">
        <v>72</v>
      </c>
      <c r="C81" s="3" t="s">
        <v>1902</v>
      </c>
      <c r="D81" s="3" t="s">
        <v>1903</v>
      </c>
      <c r="E81" s="3" t="s">
        <v>1904</v>
      </c>
      <c r="F81" s="3" t="s">
        <v>1905</v>
      </c>
      <c r="G81" s="3" t="s">
        <v>1906</v>
      </c>
      <c r="H81" s="3" t="s">
        <v>39</v>
      </c>
      <c r="I81" s="3" t="s">
        <v>1907</v>
      </c>
      <c r="J81" s="3" t="s">
        <v>1908</v>
      </c>
      <c r="K81" s="41" t="s">
        <v>1909</v>
      </c>
      <c r="L81" s="3" t="s">
        <v>1910</v>
      </c>
      <c r="M81" s="3" t="s">
        <v>1911</v>
      </c>
      <c r="N81" s="3" t="s">
        <v>1912</v>
      </c>
      <c r="O81" s="4" t="s">
        <v>1913</v>
      </c>
      <c r="P81" s="4" t="s">
        <v>1914</v>
      </c>
      <c r="Q81" s="3" t="s">
        <v>49</v>
      </c>
      <c r="R81" s="3"/>
      <c r="S81" s="3" t="s">
        <v>49</v>
      </c>
      <c r="T81" s="3"/>
      <c r="U81" s="4" t="s">
        <v>1915</v>
      </c>
      <c r="V81" s="5" t="s">
        <v>1916</v>
      </c>
      <c r="W81" s="5"/>
      <c r="X81" s="5">
        <v>5</v>
      </c>
      <c r="Y81" s="5">
        <v>1</v>
      </c>
      <c r="Z81" s="5">
        <v>5</v>
      </c>
      <c r="AA81" s="5">
        <v>3</v>
      </c>
      <c r="AB81" s="5">
        <v>0</v>
      </c>
      <c r="AC81" s="3">
        <f t="shared" si="0"/>
        <v>5</v>
      </c>
      <c r="AD81" s="3">
        <f t="shared" si="1"/>
        <v>0</v>
      </c>
      <c r="AE81" s="5">
        <f t="shared" si="2"/>
        <v>19</v>
      </c>
      <c r="AF81" s="5" t="s">
        <v>53</v>
      </c>
    </row>
    <row r="82" spans="1:32" ht="15.75" customHeight="1" x14ac:dyDescent="0.2">
      <c r="A82" s="3" t="s">
        <v>403</v>
      </c>
      <c r="B82" s="3" t="s">
        <v>55</v>
      </c>
      <c r="C82" s="3" t="s">
        <v>404</v>
      </c>
      <c r="D82" s="3" t="s">
        <v>405</v>
      </c>
      <c r="E82" s="3" t="s">
        <v>406</v>
      </c>
      <c r="F82" s="3" t="s">
        <v>407</v>
      </c>
      <c r="G82" s="3" t="s">
        <v>408</v>
      </c>
      <c r="H82" s="3" t="s">
        <v>39</v>
      </c>
      <c r="I82" s="3" t="s">
        <v>409</v>
      </c>
      <c r="J82" s="3" t="s">
        <v>410</v>
      </c>
      <c r="K82" s="3" t="s">
        <v>411</v>
      </c>
      <c r="L82" s="3" t="s">
        <v>412</v>
      </c>
      <c r="M82" s="3" t="s">
        <v>413</v>
      </c>
      <c r="N82" s="3" t="s">
        <v>414</v>
      </c>
      <c r="O82" s="4" t="s">
        <v>415</v>
      </c>
      <c r="P82" s="4" t="s">
        <v>416</v>
      </c>
      <c r="Q82" s="3" t="s">
        <v>49</v>
      </c>
      <c r="R82" s="3"/>
      <c r="S82" s="3" t="s">
        <v>49</v>
      </c>
      <c r="T82" s="3"/>
      <c r="U82" s="4" t="s">
        <v>417</v>
      </c>
      <c r="V82" s="5" t="s">
        <v>418</v>
      </c>
      <c r="W82" s="5" t="s">
        <v>419</v>
      </c>
      <c r="X82" s="5">
        <v>5</v>
      </c>
      <c r="Y82" s="5">
        <v>2</v>
      </c>
      <c r="Z82" s="5">
        <v>7</v>
      </c>
      <c r="AA82" s="5">
        <v>4</v>
      </c>
      <c r="AB82" s="5">
        <v>0</v>
      </c>
      <c r="AC82" s="3">
        <f t="shared" si="0"/>
        <v>0</v>
      </c>
      <c r="AD82" s="3">
        <f t="shared" si="1"/>
        <v>0</v>
      </c>
      <c r="AE82" s="5">
        <f t="shared" si="2"/>
        <v>18</v>
      </c>
      <c r="AF82" s="5" t="s">
        <v>53</v>
      </c>
    </row>
    <row r="83" spans="1:32" ht="15.75" customHeight="1" x14ac:dyDescent="0.2">
      <c r="A83" s="3" t="s">
        <v>1514</v>
      </c>
      <c r="B83" s="3" t="s">
        <v>106</v>
      </c>
      <c r="C83" s="3" t="s">
        <v>1515</v>
      </c>
      <c r="D83" s="3" t="s">
        <v>1516</v>
      </c>
      <c r="E83" s="3" t="s">
        <v>1517</v>
      </c>
      <c r="F83" s="3" t="s">
        <v>1518</v>
      </c>
      <c r="G83" s="3" t="s">
        <v>1519</v>
      </c>
      <c r="H83" s="3" t="s">
        <v>39</v>
      </c>
      <c r="I83" s="3" t="s">
        <v>1520</v>
      </c>
      <c r="J83" s="3" t="s">
        <v>1521</v>
      </c>
      <c r="K83" s="3" t="s">
        <v>1522</v>
      </c>
      <c r="L83" s="3" t="s">
        <v>1523</v>
      </c>
      <c r="M83" s="3" t="s">
        <v>1524</v>
      </c>
      <c r="N83" s="3" t="s">
        <v>1525</v>
      </c>
      <c r="O83" s="4" t="s">
        <v>1526</v>
      </c>
      <c r="P83" s="4" t="s">
        <v>1527</v>
      </c>
      <c r="Q83" s="3" t="s">
        <v>49</v>
      </c>
      <c r="R83" s="3"/>
      <c r="S83" s="3" t="s">
        <v>49</v>
      </c>
      <c r="T83" s="3"/>
      <c r="U83" s="4" t="s">
        <v>1528</v>
      </c>
      <c r="V83" s="5" t="s">
        <v>1529</v>
      </c>
      <c r="W83" s="5"/>
      <c r="X83" s="5">
        <v>5</v>
      </c>
      <c r="Y83" s="5">
        <v>0</v>
      </c>
      <c r="Z83" s="5">
        <v>3</v>
      </c>
      <c r="AA83" s="5">
        <v>2</v>
      </c>
      <c r="AB83" s="5">
        <v>0</v>
      </c>
      <c r="AC83" s="3">
        <f t="shared" si="0"/>
        <v>5</v>
      </c>
      <c r="AD83" s="3">
        <f t="shared" si="1"/>
        <v>0</v>
      </c>
      <c r="AE83" s="5">
        <f t="shared" si="2"/>
        <v>15</v>
      </c>
      <c r="AF83" s="5" t="s">
        <v>53</v>
      </c>
    </row>
    <row r="84" spans="1:32" ht="15.75" customHeight="1" x14ac:dyDescent="0.2">
      <c r="A84" s="3" t="s">
        <v>71</v>
      </c>
      <c r="B84" s="3" t="s">
        <v>72</v>
      </c>
      <c r="C84" s="3" t="s">
        <v>73</v>
      </c>
      <c r="D84" s="3" t="s">
        <v>74</v>
      </c>
      <c r="E84" s="3" t="s">
        <v>75</v>
      </c>
      <c r="F84" s="3" t="s">
        <v>76</v>
      </c>
      <c r="G84" s="3" t="s">
        <v>77</v>
      </c>
      <c r="H84" s="3" t="s">
        <v>39</v>
      </c>
      <c r="I84" s="3" t="s">
        <v>78</v>
      </c>
      <c r="J84" s="3" t="s">
        <v>79</v>
      </c>
      <c r="K84" s="3" t="s">
        <v>80</v>
      </c>
      <c r="L84" s="3" t="s">
        <v>81</v>
      </c>
      <c r="M84" s="3" t="s">
        <v>82</v>
      </c>
      <c r="N84" s="3" t="s">
        <v>83</v>
      </c>
      <c r="O84" s="4" t="s">
        <v>84</v>
      </c>
      <c r="P84" s="4" t="s">
        <v>85</v>
      </c>
      <c r="Q84" s="3" t="s">
        <v>49</v>
      </c>
      <c r="R84" s="3"/>
      <c r="S84" s="3" t="s">
        <v>48</v>
      </c>
      <c r="T84" s="3"/>
      <c r="U84" s="4" t="s">
        <v>86</v>
      </c>
      <c r="V84" s="5" t="s">
        <v>87</v>
      </c>
      <c r="W84" s="5"/>
      <c r="X84" s="5">
        <v>5</v>
      </c>
      <c r="Y84" s="5">
        <v>1</v>
      </c>
      <c r="Z84" s="5">
        <v>2</v>
      </c>
      <c r="AA84" s="5">
        <v>1</v>
      </c>
      <c r="AB84" s="5">
        <v>0</v>
      </c>
      <c r="AC84" s="3">
        <f t="shared" si="0"/>
        <v>5</v>
      </c>
      <c r="AD84" s="3">
        <f t="shared" si="1"/>
        <v>0</v>
      </c>
      <c r="AE84" s="5">
        <f t="shared" si="2"/>
        <v>14</v>
      </c>
      <c r="AF84" s="5" t="s">
        <v>53</v>
      </c>
    </row>
    <row r="85" spans="1:32" ht="15.75" customHeight="1" x14ac:dyDescent="0.2">
      <c r="A85" s="3" t="s">
        <v>1500</v>
      </c>
      <c r="B85" s="3" t="s">
        <v>72</v>
      </c>
      <c r="C85" s="3" t="s">
        <v>1501</v>
      </c>
      <c r="D85" s="3" t="s">
        <v>1502</v>
      </c>
      <c r="E85" s="3"/>
      <c r="F85" s="3" t="s">
        <v>1503</v>
      </c>
      <c r="G85" s="3" t="s">
        <v>1504</v>
      </c>
      <c r="H85" s="3" t="s">
        <v>39</v>
      </c>
      <c r="I85" s="3" t="s">
        <v>1474</v>
      </c>
      <c r="J85" s="3" t="s">
        <v>1505</v>
      </c>
      <c r="K85" s="3" t="s">
        <v>1506</v>
      </c>
      <c r="L85" s="3" t="s">
        <v>1507</v>
      </c>
      <c r="M85" s="3" t="s">
        <v>1508</v>
      </c>
      <c r="N85" s="3" t="s">
        <v>1509</v>
      </c>
      <c r="O85" s="4" t="s">
        <v>1510</v>
      </c>
      <c r="P85" s="4" t="s">
        <v>1511</v>
      </c>
      <c r="Q85" s="3" t="s">
        <v>48</v>
      </c>
      <c r="R85" s="3"/>
      <c r="S85" s="3" t="s">
        <v>48</v>
      </c>
      <c r="T85" s="3"/>
      <c r="U85" s="4" t="s">
        <v>1512</v>
      </c>
      <c r="V85" s="5" t="s">
        <v>1513</v>
      </c>
      <c r="W85" s="5"/>
      <c r="X85" s="5">
        <v>5</v>
      </c>
      <c r="Y85" s="5">
        <v>1</v>
      </c>
      <c r="Z85" s="5">
        <v>1</v>
      </c>
      <c r="AA85" s="5">
        <v>2</v>
      </c>
      <c r="AB85" s="5">
        <v>0</v>
      </c>
      <c r="AC85" s="3">
        <f t="shared" si="0"/>
        <v>5</v>
      </c>
      <c r="AD85" s="3">
        <f t="shared" si="1"/>
        <v>0</v>
      </c>
      <c r="AE85" s="5">
        <f t="shared" si="2"/>
        <v>14</v>
      </c>
      <c r="AF85" s="5" t="s">
        <v>53</v>
      </c>
    </row>
    <row r="86" spans="1:32" ht="15.75" customHeight="1" x14ac:dyDescent="0.2">
      <c r="A86" s="3" t="s">
        <v>123</v>
      </c>
      <c r="B86" s="3" t="s">
        <v>106</v>
      </c>
      <c r="C86" s="3" t="s">
        <v>124</v>
      </c>
      <c r="D86" s="3" t="s">
        <v>125</v>
      </c>
      <c r="E86" s="3" t="s">
        <v>126</v>
      </c>
      <c r="F86" s="3" t="s">
        <v>127</v>
      </c>
      <c r="G86" s="3" t="s">
        <v>128</v>
      </c>
      <c r="H86" s="3" t="s">
        <v>39</v>
      </c>
      <c r="I86" s="3" t="s">
        <v>129</v>
      </c>
      <c r="J86" s="3" t="s">
        <v>130</v>
      </c>
      <c r="K86" s="3" t="s">
        <v>131</v>
      </c>
      <c r="L86" s="3" t="s">
        <v>132</v>
      </c>
      <c r="M86" s="3" t="s">
        <v>133</v>
      </c>
      <c r="N86" s="3" t="s">
        <v>134</v>
      </c>
      <c r="O86" s="4" t="s">
        <v>135</v>
      </c>
      <c r="P86" s="4" t="s">
        <v>136</v>
      </c>
      <c r="Q86" s="3" t="s">
        <v>49</v>
      </c>
      <c r="R86" s="3"/>
      <c r="S86" s="3" t="s">
        <v>49</v>
      </c>
      <c r="T86" s="3"/>
      <c r="U86" s="4" t="s">
        <v>137</v>
      </c>
      <c r="V86" s="5" t="s">
        <v>138</v>
      </c>
      <c r="W86" s="5"/>
      <c r="X86" s="5">
        <v>5</v>
      </c>
      <c r="Y86" s="5">
        <v>5</v>
      </c>
      <c r="Z86" s="5"/>
      <c r="AA86" s="5"/>
      <c r="AB86" s="5"/>
      <c r="AC86" s="3">
        <f t="shared" si="0"/>
        <v>5</v>
      </c>
      <c r="AD86" s="3">
        <f t="shared" si="1"/>
        <v>0</v>
      </c>
      <c r="AE86" s="5">
        <f t="shared" si="2"/>
        <v>15</v>
      </c>
      <c r="AF86" s="5"/>
    </row>
    <row r="87" spans="1:32" ht="15.75" customHeight="1" x14ac:dyDescent="0.2">
      <c r="A87" s="3" t="s">
        <v>420</v>
      </c>
      <c r="B87" s="3" t="s">
        <v>106</v>
      </c>
      <c r="C87" s="3" t="s">
        <v>421</v>
      </c>
      <c r="D87" s="3" t="s">
        <v>422</v>
      </c>
      <c r="E87" s="3" t="s">
        <v>423</v>
      </c>
      <c r="F87" s="3" t="s">
        <v>424</v>
      </c>
      <c r="G87" s="3" t="s">
        <v>425</v>
      </c>
      <c r="H87" s="3" t="s">
        <v>39</v>
      </c>
      <c r="I87" s="3" t="s">
        <v>426</v>
      </c>
      <c r="J87" s="3" t="s">
        <v>427</v>
      </c>
      <c r="K87" s="3" t="s">
        <v>428</v>
      </c>
      <c r="L87" s="3" t="s">
        <v>429</v>
      </c>
      <c r="M87" s="3" t="s">
        <v>430</v>
      </c>
      <c r="N87" s="3" t="s">
        <v>431</v>
      </c>
      <c r="O87" s="4" t="s">
        <v>432</v>
      </c>
      <c r="P87" s="4" t="s">
        <v>433</v>
      </c>
      <c r="Q87" s="3" t="s">
        <v>48</v>
      </c>
      <c r="R87" s="3"/>
      <c r="S87" s="3" t="s">
        <v>49</v>
      </c>
      <c r="T87" s="3"/>
      <c r="U87" s="4" t="s">
        <v>434</v>
      </c>
      <c r="V87" s="5" t="s">
        <v>435</v>
      </c>
      <c r="W87" s="5"/>
      <c r="X87" s="5">
        <v>5</v>
      </c>
      <c r="Y87" s="5"/>
      <c r="Z87" s="5"/>
      <c r="AA87" s="5"/>
      <c r="AB87" s="5"/>
      <c r="AC87" s="3">
        <f t="shared" si="0"/>
        <v>5</v>
      </c>
      <c r="AD87" s="3">
        <f t="shared" si="1"/>
        <v>0</v>
      </c>
      <c r="AE87" s="5">
        <f t="shared" si="2"/>
        <v>10</v>
      </c>
      <c r="AF87" s="5"/>
    </row>
    <row r="88" spans="1:32" ht="15.75" customHeight="1" x14ac:dyDescent="0.2">
      <c r="A88" s="3" t="s">
        <v>700</v>
      </c>
      <c r="B88" s="3" t="s">
        <v>106</v>
      </c>
      <c r="C88" s="3" t="s">
        <v>701</v>
      </c>
      <c r="D88" s="3" t="s">
        <v>702</v>
      </c>
      <c r="E88" s="3" t="s">
        <v>703</v>
      </c>
      <c r="F88" s="3" t="s">
        <v>704</v>
      </c>
      <c r="G88" s="3" t="s">
        <v>705</v>
      </c>
      <c r="H88" s="3" t="s">
        <v>39</v>
      </c>
      <c r="I88" s="3" t="s">
        <v>706</v>
      </c>
      <c r="J88" s="3" t="s">
        <v>707</v>
      </c>
      <c r="K88" s="3" t="s">
        <v>708</v>
      </c>
      <c r="L88" s="3" t="s">
        <v>709</v>
      </c>
      <c r="M88" s="3" t="s">
        <v>710</v>
      </c>
      <c r="N88" s="3" t="s">
        <v>711</v>
      </c>
      <c r="O88" s="4" t="s">
        <v>712</v>
      </c>
      <c r="P88" s="4" t="s">
        <v>713</v>
      </c>
      <c r="Q88" s="3" t="s">
        <v>49</v>
      </c>
      <c r="R88" s="3"/>
      <c r="S88" s="3" t="s">
        <v>49</v>
      </c>
      <c r="T88" s="3"/>
      <c r="U88" s="4" t="s">
        <v>714</v>
      </c>
      <c r="V88" s="5" t="s">
        <v>715</v>
      </c>
      <c r="W88" s="5"/>
      <c r="X88" s="5">
        <v>5</v>
      </c>
      <c r="Y88" s="5"/>
      <c r="Z88" s="5"/>
      <c r="AA88" s="5"/>
      <c r="AB88" s="5"/>
      <c r="AC88" s="3">
        <f t="shared" si="0"/>
        <v>5</v>
      </c>
      <c r="AD88" s="3">
        <f t="shared" si="1"/>
        <v>0</v>
      </c>
      <c r="AE88" s="5">
        <f t="shared" si="2"/>
        <v>10</v>
      </c>
      <c r="AF88" s="5"/>
    </row>
    <row r="89" spans="1:32" ht="15.75" customHeight="1" x14ac:dyDescent="0.2">
      <c r="A89" s="3" t="s">
        <v>764</v>
      </c>
      <c r="B89" s="3" t="s">
        <v>72</v>
      </c>
      <c r="C89" s="3" t="s">
        <v>765</v>
      </c>
      <c r="D89" s="3" t="s">
        <v>766</v>
      </c>
      <c r="E89" s="3" t="s">
        <v>767</v>
      </c>
      <c r="F89" s="3" t="s">
        <v>768</v>
      </c>
      <c r="G89" s="3">
        <v>25931692110</v>
      </c>
      <c r="H89" s="3" t="s">
        <v>94</v>
      </c>
      <c r="I89" s="3" t="s">
        <v>770</v>
      </c>
      <c r="J89" s="3" t="s">
        <v>771</v>
      </c>
      <c r="K89" s="3" t="s">
        <v>772</v>
      </c>
      <c r="L89" s="3" t="s">
        <v>773</v>
      </c>
      <c r="M89" s="3" t="s">
        <v>774</v>
      </c>
      <c r="N89" s="3" t="s">
        <v>775</v>
      </c>
      <c r="O89" s="4" t="s">
        <v>776</v>
      </c>
      <c r="P89" s="4" t="s">
        <v>777</v>
      </c>
      <c r="Q89" s="3" t="s">
        <v>48</v>
      </c>
      <c r="R89" s="3"/>
      <c r="S89" s="3" t="s">
        <v>48</v>
      </c>
      <c r="T89" s="3"/>
      <c r="U89" s="4" t="s">
        <v>778</v>
      </c>
      <c r="V89" s="5" t="s">
        <v>779</v>
      </c>
      <c r="W89" s="5"/>
      <c r="X89" s="5">
        <v>5</v>
      </c>
      <c r="Y89" s="5"/>
      <c r="Z89" s="5"/>
      <c r="AA89" s="5"/>
      <c r="AB89" s="5"/>
      <c r="AC89" s="3">
        <f t="shared" si="0"/>
        <v>5</v>
      </c>
      <c r="AD89" s="3">
        <f t="shared" si="1"/>
        <v>5</v>
      </c>
      <c r="AE89" s="5">
        <f t="shared" si="2"/>
        <v>15</v>
      </c>
      <c r="AF89" s="5"/>
    </row>
    <row r="90" spans="1:32" ht="15.75" customHeight="1" x14ac:dyDescent="0.2">
      <c r="A90" s="3" t="s">
        <v>796</v>
      </c>
      <c r="B90" s="3" t="s">
        <v>55</v>
      </c>
      <c r="C90" s="3" t="s">
        <v>797</v>
      </c>
      <c r="D90" s="3" t="s">
        <v>798</v>
      </c>
      <c r="E90" s="3" t="s">
        <v>799</v>
      </c>
      <c r="F90" s="3" t="s">
        <v>800</v>
      </c>
      <c r="G90" s="3" t="s">
        <v>801</v>
      </c>
      <c r="H90" s="3" t="s">
        <v>94</v>
      </c>
      <c r="I90" s="3" t="s">
        <v>802</v>
      </c>
      <c r="J90" s="3" t="s">
        <v>803</v>
      </c>
      <c r="K90" s="3" t="s">
        <v>804</v>
      </c>
      <c r="L90" s="3" t="s">
        <v>805</v>
      </c>
      <c r="M90" s="3" t="s">
        <v>806</v>
      </c>
      <c r="N90" s="3" t="s">
        <v>807</v>
      </c>
      <c r="O90" s="4" t="s">
        <v>808</v>
      </c>
      <c r="P90" s="4" t="s">
        <v>809</v>
      </c>
      <c r="Q90" s="3" t="s">
        <v>48</v>
      </c>
      <c r="R90" s="3"/>
      <c r="S90" s="3" t="s">
        <v>49</v>
      </c>
      <c r="T90" s="3"/>
      <c r="U90" s="4" t="s">
        <v>810</v>
      </c>
      <c r="V90" s="5" t="s">
        <v>811</v>
      </c>
      <c r="W90" s="5"/>
      <c r="X90" s="5">
        <v>5</v>
      </c>
      <c r="Y90" s="5"/>
      <c r="Z90" s="5"/>
      <c r="AA90" s="5"/>
      <c r="AB90" s="5"/>
      <c r="AC90" s="3">
        <f t="shared" si="0"/>
        <v>0</v>
      </c>
      <c r="AD90" s="3">
        <f t="shared" si="1"/>
        <v>5</v>
      </c>
      <c r="AE90" s="5">
        <f t="shared" si="2"/>
        <v>10</v>
      </c>
      <c r="AF90" s="5"/>
    </row>
    <row r="91" spans="1:32" ht="15.75" customHeight="1" x14ac:dyDescent="0.2">
      <c r="A91" s="3" t="s">
        <v>1143</v>
      </c>
      <c r="B91" s="3" t="s">
        <v>72</v>
      </c>
      <c r="C91" s="3" t="s">
        <v>1144</v>
      </c>
      <c r="D91" s="3" t="s">
        <v>1145</v>
      </c>
      <c r="E91" s="3" t="s">
        <v>1146</v>
      </c>
      <c r="F91" s="3" t="s">
        <v>1147</v>
      </c>
      <c r="G91" s="3" t="str">
        <f>I91</f>
        <v xml:space="preserve">Government </v>
      </c>
      <c r="H91" s="3" t="s">
        <v>94</v>
      </c>
      <c r="I91" s="3" t="s">
        <v>1149</v>
      </c>
      <c r="J91" s="3" t="s">
        <v>1150</v>
      </c>
      <c r="K91" s="41" t="s">
        <v>1151</v>
      </c>
      <c r="L91" s="41" t="s">
        <v>1152</v>
      </c>
      <c r="M91" s="41" t="s">
        <v>1153</v>
      </c>
      <c r="N91" s="41" t="s">
        <v>1154</v>
      </c>
      <c r="O91" s="4" t="s">
        <v>1155</v>
      </c>
      <c r="P91" s="4" t="s">
        <v>1156</v>
      </c>
      <c r="Q91" s="3" t="s">
        <v>49</v>
      </c>
      <c r="R91" s="3"/>
      <c r="S91" s="3" t="s">
        <v>49</v>
      </c>
      <c r="T91" s="3"/>
      <c r="U91" s="4" t="s">
        <v>1157</v>
      </c>
      <c r="V91" s="5" t="s">
        <v>1158</v>
      </c>
      <c r="W91" s="5"/>
      <c r="X91" s="5">
        <v>5</v>
      </c>
      <c r="Y91" s="5"/>
      <c r="Z91" s="5"/>
      <c r="AA91" s="5"/>
      <c r="AB91" s="5"/>
      <c r="AC91" s="3">
        <f t="shared" si="0"/>
        <v>5</v>
      </c>
      <c r="AD91" s="3">
        <f t="shared" si="1"/>
        <v>5</v>
      </c>
      <c r="AE91" s="5">
        <f t="shared" si="2"/>
        <v>15</v>
      </c>
      <c r="AF91" s="5"/>
    </row>
    <row r="92" spans="1:32" ht="15.75" customHeight="1" x14ac:dyDescent="0.2">
      <c r="A92" s="3" t="s">
        <v>1436</v>
      </c>
      <c r="B92" s="3" t="s">
        <v>106</v>
      </c>
      <c r="C92" s="3" t="s">
        <v>1437</v>
      </c>
      <c r="D92" s="3" t="s">
        <v>1438</v>
      </c>
      <c r="E92" s="3" t="s">
        <v>1439</v>
      </c>
      <c r="F92" s="3" t="s">
        <v>1440</v>
      </c>
      <c r="G92" s="3" t="s">
        <v>1441</v>
      </c>
      <c r="H92" s="3" t="s">
        <v>94</v>
      </c>
      <c r="I92" s="3" t="s">
        <v>1442</v>
      </c>
      <c r="J92" s="3" t="s">
        <v>1443</v>
      </c>
      <c r="K92" s="3" t="s">
        <v>1444</v>
      </c>
      <c r="L92" s="3" t="s">
        <v>1445</v>
      </c>
      <c r="M92" s="3" t="s">
        <v>1446</v>
      </c>
      <c r="N92" s="3" t="s">
        <v>1447</v>
      </c>
      <c r="O92" s="4" t="s">
        <v>1448</v>
      </c>
      <c r="P92" s="4" t="s">
        <v>1449</v>
      </c>
      <c r="Q92" s="3" t="s">
        <v>48</v>
      </c>
      <c r="R92" s="3" t="s">
        <v>550</v>
      </c>
      <c r="S92" s="3" t="s">
        <v>49</v>
      </c>
      <c r="T92" s="3"/>
      <c r="U92" s="4" t="s">
        <v>1450</v>
      </c>
      <c r="V92" s="5" t="s">
        <v>1451</v>
      </c>
      <c r="W92" s="5"/>
      <c r="X92" s="5">
        <v>5</v>
      </c>
      <c r="Y92" s="5"/>
      <c r="Z92" s="5"/>
      <c r="AA92" s="5"/>
      <c r="AB92" s="5"/>
      <c r="AC92" s="3">
        <f t="shared" si="0"/>
        <v>5</v>
      </c>
      <c r="AD92" s="3">
        <f t="shared" si="1"/>
        <v>5</v>
      </c>
      <c r="AE92" s="5">
        <f t="shared" si="2"/>
        <v>15</v>
      </c>
      <c r="AF92" s="5"/>
    </row>
    <row r="93" spans="1:32" ht="15.75" customHeight="1" x14ac:dyDescent="0.2">
      <c r="A93" s="3" t="s">
        <v>685</v>
      </c>
      <c r="B93" s="3" t="s">
        <v>72</v>
      </c>
      <c r="C93" s="3" t="s">
        <v>574</v>
      </c>
      <c r="D93" s="3" t="s">
        <v>686</v>
      </c>
      <c r="E93" s="3" t="s">
        <v>687</v>
      </c>
      <c r="F93" s="3" t="s">
        <v>688</v>
      </c>
      <c r="G93" s="3" t="s">
        <v>689</v>
      </c>
      <c r="H93" s="3" t="s">
        <v>94</v>
      </c>
      <c r="I93" s="3" t="s">
        <v>690</v>
      </c>
      <c r="J93" s="3" t="s">
        <v>691</v>
      </c>
      <c r="K93" s="41" t="s">
        <v>692</v>
      </c>
      <c r="L93" s="3" t="s">
        <v>693</v>
      </c>
      <c r="M93" s="3" t="s">
        <v>694</v>
      </c>
      <c r="N93" s="3" t="s">
        <v>695</v>
      </c>
      <c r="O93" s="4" t="s">
        <v>696</v>
      </c>
      <c r="P93" s="4" t="s">
        <v>697</v>
      </c>
      <c r="Q93" s="3" t="s">
        <v>49</v>
      </c>
      <c r="R93" s="3"/>
      <c r="S93" s="3" t="s">
        <v>49</v>
      </c>
      <c r="T93" s="3"/>
      <c r="U93" s="4" t="s">
        <v>698</v>
      </c>
      <c r="V93" s="5" t="s">
        <v>699</v>
      </c>
      <c r="W93" s="5"/>
      <c r="X93" s="5">
        <v>0</v>
      </c>
      <c r="Y93" s="5">
        <v>0</v>
      </c>
      <c r="Z93" s="5">
        <v>6</v>
      </c>
      <c r="AA93" s="5">
        <v>4</v>
      </c>
      <c r="AB93" s="5">
        <v>0</v>
      </c>
      <c r="AC93" s="3">
        <f t="shared" si="0"/>
        <v>5</v>
      </c>
      <c r="AD93" s="3">
        <f t="shared" si="1"/>
        <v>5</v>
      </c>
      <c r="AE93" s="5">
        <f t="shared" si="2"/>
        <v>20</v>
      </c>
      <c r="AF93" s="5" t="s">
        <v>53</v>
      </c>
    </row>
    <row r="94" spans="1:32" ht="15.75" customHeight="1" x14ac:dyDescent="0.2">
      <c r="A94" s="3" t="s">
        <v>1337</v>
      </c>
      <c r="B94" s="3" t="s">
        <v>106</v>
      </c>
      <c r="C94" s="3" t="s">
        <v>1338</v>
      </c>
      <c r="D94" s="3" t="s">
        <v>1339</v>
      </c>
      <c r="E94" s="3" t="s">
        <v>1340</v>
      </c>
      <c r="F94" s="3" t="s">
        <v>1341</v>
      </c>
      <c r="G94" s="3" t="s">
        <v>1342</v>
      </c>
      <c r="H94" s="3" t="s">
        <v>39</v>
      </c>
      <c r="I94" s="3" t="s">
        <v>1343</v>
      </c>
      <c r="J94" s="3" t="s">
        <v>1344</v>
      </c>
      <c r="K94" s="3" t="s">
        <v>1345</v>
      </c>
      <c r="L94" s="3" t="s">
        <v>1346</v>
      </c>
      <c r="M94" s="3" t="s">
        <v>1347</v>
      </c>
      <c r="N94" s="3" t="s">
        <v>1348</v>
      </c>
      <c r="O94" s="4" t="s">
        <v>1349</v>
      </c>
      <c r="P94" s="4" t="s">
        <v>1350</v>
      </c>
      <c r="Q94" s="3" t="s">
        <v>48</v>
      </c>
      <c r="R94" s="3" t="s">
        <v>1351</v>
      </c>
      <c r="S94" s="3" t="s">
        <v>48</v>
      </c>
      <c r="T94" s="3" t="s">
        <v>1352</v>
      </c>
      <c r="U94" s="4" t="s">
        <v>1353</v>
      </c>
      <c r="V94" s="5" t="s">
        <v>1354</v>
      </c>
      <c r="W94" s="5"/>
      <c r="X94" s="5">
        <v>0</v>
      </c>
      <c r="Y94" s="5">
        <v>0</v>
      </c>
      <c r="Z94" s="5">
        <v>8</v>
      </c>
      <c r="AA94" s="5">
        <v>4</v>
      </c>
      <c r="AB94" s="5">
        <v>0</v>
      </c>
      <c r="AC94" s="3">
        <f t="shared" si="0"/>
        <v>5</v>
      </c>
      <c r="AD94" s="3">
        <f t="shared" si="1"/>
        <v>0</v>
      </c>
      <c r="AE94" s="5">
        <f t="shared" si="2"/>
        <v>17</v>
      </c>
      <c r="AF94" s="5" t="s">
        <v>53</v>
      </c>
    </row>
    <row r="95" spans="1:32" ht="15.75" customHeight="1" x14ac:dyDescent="0.2">
      <c r="A95" s="3" t="s">
        <v>1789</v>
      </c>
      <c r="B95" s="3" t="s">
        <v>188</v>
      </c>
      <c r="C95" s="3" t="s">
        <v>1790</v>
      </c>
      <c r="D95" s="3" t="s">
        <v>1791</v>
      </c>
      <c r="E95" s="3" t="s">
        <v>147</v>
      </c>
      <c r="F95" s="3" t="s">
        <v>1792</v>
      </c>
      <c r="G95" s="3" t="s">
        <v>1793</v>
      </c>
      <c r="H95" s="3" t="s">
        <v>39</v>
      </c>
      <c r="I95" s="3" t="s">
        <v>1794</v>
      </c>
      <c r="J95" s="3" t="s">
        <v>1795</v>
      </c>
      <c r="K95" s="3" t="s">
        <v>1796</v>
      </c>
      <c r="L95" s="3" t="s">
        <v>1797</v>
      </c>
      <c r="M95" s="3" t="s">
        <v>1798</v>
      </c>
      <c r="N95" s="3" t="s">
        <v>1799</v>
      </c>
      <c r="O95" s="4" t="s">
        <v>1800</v>
      </c>
      <c r="P95" s="4" t="s">
        <v>1801</v>
      </c>
      <c r="Q95" s="3" t="s">
        <v>49</v>
      </c>
      <c r="R95" s="3"/>
      <c r="S95" s="3" t="s">
        <v>49</v>
      </c>
      <c r="T95" s="3"/>
      <c r="U95" s="4" t="s">
        <v>1802</v>
      </c>
      <c r="V95" s="5" t="s">
        <v>1803</v>
      </c>
      <c r="W95" s="5"/>
      <c r="X95" s="5">
        <v>0</v>
      </c>
      <c r="Y95" s="5">
        <v>4</v>
      </c>
      <c r="Z95" s="5">
        <v>5</v>
      </c>
      <c r="AA95" s="5">
        <v>3</v>
      </c>
      <c r="AB95" s="5">
        <v>0</v>
      </c>
      <c r="AC95" s="3">
        <f t="shared" si="0"/>
        <v>5</v>
      </c>
      <c r="AD95" s="3">
        <f t="shared" si="1"/>
        <v>0</v>
      </c>
      <c r="AE95" s="5">
        <f t="shared" si="2"/>
        <v>17</v>
      </c>
      <c r="AF95" s="5" t="s">
        <v>53</v>
      </c>
    </row>
    <row r="96" spans="1:32" ht="15.75" customHeight="1" x14ac:dyDescent="0.2">
      <c r="A96" s="3" t="s">
        <v>1065</v>
      </c>
      <c r="B96" s="3" t="s">
        <v>106</v>
      </c>
      <c r="C96" s="3" t="s">
        <v>1066</v>
      </c>
      <c r="D96" s="3" t="s">
        <v>1067</v>
      </c>
      <c r="E96" s="3" t="s">
        <v>1068</v>
      </c>
      <c r="F96" s="3" t="s">
        <v>1069</v>
      </c>
      <c r="G96" s="3" t="s">
        <v>1070</v>
      </c>
      <c r="H96" s="3" t="s">
        <v>39</v>
      </c>
      <c r="I96" s="3" t="s">
        <v>657</v>
      </c>
      <c r="J96" s="3" t="s">
        <v>1071</v>
      </c>
      <c r="K96" s="3" t="s">
        <v>1072</v>
      </c>
      <c r="L96" s="3" t="s">
        <v>1073</v>
      </c>
      <c r="M96" s="3" t="s">
        <v>1074</v>
      </c>
      <c r="N96" s="3" t="s">
        <v>1075</v>
      </c>
      <c r="O96" s="4" t="s">
        <v>1076</v>
      </c>
      <c r="P96" s="4" t="s">
        <v>1077</v>
      </c>
      <c r="Q96" s="3" t="s">
        <v>49</v>
      </c>
      <c r="R96" s="3"/>
      <c r="S96" s="3" t="s">
        <v>49</v>
      </c>
      <c r="T96" s="3"/>
      <c r="U96" s="4" t="s">
        <v>1078</v>
      </c>
      <c r="V96" s="5" t="s">
        <v>1079</v>
      </c>
      <c r="W96" s="5"/>
      <c r="X96" s="5">
        <v>0</v>
      </c>
      <c r="Y96" s="5">
        <v>2</v>
      </c>
      <c r="Z96" s="5">
        <v>5</v>
      </c>
      <c r="AA96" s="5">
        <v>4</v>
      </c>
      <c r="AB96" s="5">
        <v>0</v>
      </c>
      <c r="AC96" s="3">
        <f t="shared" si="0"/>
        <v>5</v>
      </c>
      <c r="AD96" s="3">
        <f t="shared" si="1"/>
        <v>0</v>
      </c>
      <c r="AE96" s="5">
        <f t="shared" si="2"/>
        <v>16</v>
      </c>
      <c r="AF96" s="5" t="s">
        <v>53</v>
      </c>
    </row>
    <row r="97" spans="1:32" ht="15.75" customHeight="1" x14ac:dyDescent="0.2">
      <c r="A97" s="3" t="s">
        <v>1965</v>
      </c>
      <c r="B97" s="3" t="s">
        <v>106</v>
      </c>
      <c r="C97" s="3" t="s">
        <v>1966</v>
      </c>
      <c r="D97" s="3" t="s">
        <v>1967</v>
      </c>
      <c r="E97" s="3" t="s">
        <v>1968</v>
      </c>
      <c r="F97" s="3" t="s">
        <v>1969</v>
      </c>
      <c r="G97" s="3" t="s">
        <v>1970</v>
      </c>
      <c r="H97" s="3" t="s">
        <v>39</v>
      </c>
      <c r="I97" s="3" t="s">
        <v>1971</v>
      </c>
      <c r="J97" s="3" t="s">
        <v>1972</v>
      </c>
      <c r="K97" s="3" t="s">
        <v>1973</v>
      </c>
      <c r="L97" s="3" t="s">
        <v>1974</v>
      </c>
      <c r="M97" s="3" t="s">
        <v>1975</v>
      </c>
      <c r="N97" s="3" t="s">
        <v>1976</v>
      </c>
      <c r="O97" s="4" t="s">
        <v>1977</v>
      </c>
      <c r="P97" s="4" t="s">
        <v>1978</v>
      </c>
      <c r="Q97" s="3" t="s">
        <v>49</v>
      </c>
      <c r="R97" s="3" t="s">
        <v>49</v>
      </c>
      <c r="S97" s="3" t="s">
        <v>49</v>
      </c>
      <c r="T97" s="3" t="s">
        <v>49</v>
      </c>
      <c r="U97" s="4" t="s">
        <v>1979</v>
      </c>
      <c r="V97" s="5" t="s">
        <v>1980</v>
      </c>
      <c r="W97" s="5" t="s">
        <v>1980</v>
      </c>
      <c r="X97" s="5">
        <v>0</v>
      </c>
      <c r="Y97" s="5">
        <v>0</v>
      </c>
      <c r="Z97" s="5">
        <v>6</v>
      </c>
      <c r="AA97" s="5">
        <v>3</v>
      </c>
      <c r="AB97" s="5">
        <v>2</v>
      </c>
      <c r="AC97" s="3">
        <f t="shared" si="0"/>
        <v>5</v>
      </c>
      <c r="AD97" s="3">
        <f t="shared" si="1"/>
        <v>0</v>
      </c>
      <c r="AE97" s="5">
        <f t="shared" si="2"/>
        <v>16</v>
      </c>
      <c r="AF97" s="5" t="s">
        <v>53</v>
      </c>
    </row>
    <row r="98" spans="1:32" ht="15.75" customHeight="1" x14ac:dyDescent="0.2">
      <c r="A98" s="3" t="s">
        <v>985</v>
      </c>
      <c r="B98" s="3" t="s">
        <v>106</v>
      </c>
      <c r="C98" s="3" t="s">
        <v>986</v>
      </c>
      <c r="D98" s="3" t="s">
        <v>987</v>
      </c>
      <c r="E98" s="3" t="s">
        <v>988</v>
      </c>
      <c r="F98" s="3" t="s">
        <v>989</v>
      </c>
      <c r="G98" s="3" t="s">
        <v>990</v>
      </c>
      <c r="H98" s="3" t="s">
        <v>39</v>
      </c>
      <c r="I98" s="3" t="s">
        <v>991</v>
      </c>
      <c r="J98" s="3" t="s">
        <v>79</v>
      </c>
      <c r="K98" s="3" t="s">
        <v>992</v>
      </c>
      <c r="L98" s="3" t="s">
        <v>993</v>
      </c>
      <c r="M98" s="3" t="s">
        <v>994</v>
      </c>
      <c r="N98" s="3" t="s">
        <v>995</v>
      </c>
      <c r="O98" s="4" t="s">
        <v>996</v>
      </c>
      <c r="P98" s="4" t="s">
        <v>997</v>
      </c>
      <c r="Q98" s="3" t="s">
        <v>48</v>
      </c>
      <c r="R98" s="3" t="s">
        <v>550</v>
      </c>
      <c r="S98" s="3" t="s">
        <v>48</v>
      </c>
      <c r="T98" s="3" t="s">
        <v>998</v>
      </c>
      <c r="U98" s="4" t="s">
        <v>999</v>
      </c>
      <c r="V98" s="5" t="s">
        <v>1000</v>
      </c>
      <c r="W98" s="5"/>
      <c r="X98" s="5">
        <v>0</v>
      </c>
      <c r="Y98" s="5">
        <v>1</v>
      </c>
      <c r="Z98" s="5">
        <v>6</v>
      </c>
      <c r="AA98" s="5">
        <v>3</v>
      </c>
      <c r="AB98" s="5">
        <v>0</v>
      </c>
      <c r="AC98" s="3">
        <f t="shared" si="0"/>
        <v>5</v>
      </c>
      <c r="AD98" s="3">
        <f t="shared" si="1"/>
        <v>0</v>
      </c>
      <c r="AE98" s="5">
        <f t="shared" si="2"/>
        <v>15</v>
      </c>
      <c r="AF98" s="5" t="s">
        <v>53</v>
      </c>
    </row>
    <row r="99" spans="1:32" ht="15.75" customHeight="1" x14ac:dyDescent="0.2">
      <c r="A99" s="3" t="s">
        <v>1305</v>
      </c>
      <c r="B99" s="3" t="s">
        <v>239</v>
      </c>
      <c r="C99" s="3" t="s">
        <v>1306</v>
      </c>
      <c r="D99" s="3" t="s">
        <v>1307</v>
      </c>
      <c r="E99" s="3" t="s">
        <v>1308</v>
      </c>
      <c r="F99" s="3" t="s">
        <v>1309</v>
      </c>
      <c r="G99" s="3" t="s">
        <v>1310</v>
      </c>
      <c r="H99" s="3" t="s">
        <v>39</v>
      </c>
      <c r="I99" s="3" t="s">
        <v>1311</v>
      </c>
      <c r="J99" s="3" t="s">
        <v>1312</v>
      </c>
      <c r="K99" s="3" t="s">
        <v>1313</v>
      </c>
      <c r="L99" s="3" t="s">
        <v>1314</v>
      </c>
      <c r="M99" s="3" t="s">
        <v>1315</v>
      </c>
      <c r="N99" s="3" t="s">
        <v>1316</v>
      </c>
      <c r="O99" s="4" t="s">
        <v>1317</v>
      </c>
      <c r="P99" s="4" t="s">
        <v>1318</v>
      </c>
      <c r="Q99" s="3" t="s">
        <v>49</v>
      </c>
      <c r="R99" s="3"/>
      <c r="S99" s="3" t="s">
        <v>49</v>
      </c>
      <c r="T99" s="3"/>
      <c r="U99" s="4" t="s">
        <v>1319</v>
      </c>
      <c r="V99" s="5" t="s">
        <v>1320</v>
      </c>
      <c r="W99" s="5"/>
      <c r="X99" s="5">
        <v>0</v>
      </c>
      <c r="Y99" s="5">
        <v>1</v>
      </c>
      <c r="Z99" s="5">
        <v>5</v>
      </c>
      <c r="AA99" s="5">
        <v>3</v>
      </c>
      <c r="AB99" s="5">
        <v>0</v>
      </c>
      <c r="AC99" s="3">
        <f t="shared" si="0"/>
        <v>5</v>
      </c>
      <c r="AD99" s="3">
        <f t="shared" si="1"/>
        <v>0</v>
      </c>
      <c r="AE99" s="5">
        <f t="shared" si="2"/>
        <v>14</v>
      </c>
      <c r="AF99" s="5" t="s">
        <v>53</v>
      </c>
    </row>
    <row r="100" spans="1:32" ht="15.75" customHeight="1" x14ac:dyDescent="0.2">
      <c r="A100" s="3" t="s">
        <v>32</v>
      </c>
      <c r="B100" s="3" t="s">
        <v>33</v>
      </c>
      <c r="C100" s="3" t="s">
        <v>34</v>
      </c>
      <c r="D100" s="3" t="s">
        <v>35</v>
      </c>
      <c r="E100" s="3" t="s">
        <v>36</v>
      </c>
      <c r="F100" s="3" t="s">
        <v>37</v>
      </c>
      <c r="G100" s="3" t="s">
        <v>38</v>
      </c>
      <c r="H100" s="3" t="s">
        <v>39</v>
      </c>
      <c r="I100" s="3" t="s">
        <v>40</v>
      </c>
      <c r="J100" s="3" t="s">
        <v>41</v>
      </c>
      <c r="K100" s="3" t="s">
        <v>42</v>
      </c>
      <c r="L100" s="3" t="s">
        <v>43</v>
      </c>
      <c r="M100" s="3" t="s">
        <v>44</v>
      </c>
      <c r="N100" s="3" t="s">
        <v>45</v>
      </c>
      <c r="O100" s="4" t="s">
        <v>46</v>
      </c>
      <c r="P100" s="4" t="s">
        <v>47</v>
      </c>
      <c r="Q100" s="3" t="s">
        <v>48</v>
      </c>
      <c r="R100" s="3"/>
      <c r="S100" s="3" t="s">
        <v>49</v>
      </c>
      <c r="T100" s="3"/>
      <c r="U100" s="4" t="s">
        <v>50</v>
      </c>
      <c r="V100" s="5" t="s">
        <v>51</v>
      </c>
      <c r="W100" s="5" t="s">
        <v>52</v>
      </c>
      <c r="X100" s="5">
        <v>0</v>
      </c>
      <c r="Y100" s="5">
        <v>0</v>
      </c>
      <c r="Z100" s="5">
        <v>5</v>
      </c>
      <c r="AA100" s="5">
        <v>3</v>
      </c>
      <c r="AB100" s="5">
        <v>0</v>
      </c>
      <c r="AC100" s="3">
        <f t="shared" si="0"/>
        <v>5</v>
      </c>
      <c r="AD100" s="3">
        <f t="shared" si="1"/>
        <v>0</v>
      </c>
      <c r="AE100" s="5">
        <f t="shared" si="2"/>
        <v>13</v>
      </c>
      <c r="AF100" s="5" t="s">
        <v>53</v>
      </c>
    </row>
    <row r="101" spans="1:32" ht="15.75" customHeight="1" x14ac:dyDescent="0.2">
      <c r="A101" s="3" t="s">
        <v>503</v>
      </c>
      <c r="B101" s="3" t="s">
        <v>55</v>
      </c>
      <c r="C101" s="3" t="s">
        <v>504</v>
      </c>
      <c r="D101" s="3" t="s">
        <v>505</v>
      </c>
      <c r="E101" s="3" t="s">
        <v>506</v>
      </c>
      <c r="F101" s="3" t="s">
        <v>507</v>
      </c>
      <c r="G101" s="3" t="s">
        <v>508</v>
      </c>
      <c r="H101" s="3" t="s">
        <v>94</v>
      </c>
      <c r="I101" s="3" t="s">
        <v>509</v>
      </c>
      <c r="J101" s="3" t="s">
        <v>510</v>
      </c>
      <c r="K101" s="3" t="s">
        <v>511</v>
      </c>
      <c r="L101" s="3" t="s">
        <v>512</v>
      </c>
      <c r="M101" s="3" t="s">
        <v>513</v>
      </c>
      <c r="N101" s="3" t="s">
        <v>514</v>
      </c>
      <c r="O101" s="4" t="s">
        <v>515</v>
      </c>
      <c r="P101" s="4" t="s">
        <v>516</v>
      </c>
      <c r="Q101" s="3" t="s">
        <v>48</v>
      </c>
      <c r="R101" s="3"/>
      <c r="S101" s="3" t="s">
        <v>49</v>
      </c>
      <c r="T101" s="3"/>
      <c r="U101" s="4" t="s">
        <v>517</v>
      </c>
      <c r="V101" s="5" t="s">
        <v>518</v>
      </c>
      <c r="W101" s="5"/>
      <c r="X101" s="5">
        <v>0</v>
      </c>
      <c r="Y101" s="5">
        <v>0</v>
      </c>
      <c r="Z101" s="5">
        <v>5</v>
      </c>
      <c r="AA101" s="5">
        <v>2</v>
      </c>
      <c r="AB101" s="5">
        <v>0</v>
      </c>
      <c r="AC101" s="3">
        <f t="shared" si="0"/>
        <v>0</v>
      </c>
      <c r="AD101" s="3">
        <f t="shared" si="1"/>
        <v>5</v>
      </c>
      <c r="AE101" s="5">
        <f t="shared" si="2"/>
        <v>12</v>
      </c>
      <c r="AF101" s="5" t="s">
        <v>53</v>
      </c>
    </row>
    <row r="102" spans="1:32" ht="15.75" customHeight="1" x14ac:dyDescent="0.2">
      <c r="A102" s="3" t="s">
        <v>860</v>
      </c>
      <c r="B102" s="3" t="s">
        <v>55</v>
      </c>
      <c r="C102" s="3" t="s">
        <v>861</v>
      </c>
      <c r="D102" s="3" t="s">
        <v>862</v>
      </c>
      <c r="E102" s="3" t="s">
        <v>863</v>
      </c>
      <c r="F102" s="3" t="s">
        <v>864</v>
      </c>
      <c r="G102" s="3" t="s">
        <v>865</v>
      </c>
      <c r="H102" s="3" t="s">
        <v>94</v>
      </c>
      <c r="I102" s="3" t="s">
        <v>866</v>
      </c>
      <c r="J102" s="3" t="s">
        <v>867</v>
      </c>
      <c r="K102" s="3" t="s">
        <v>868</v>
      </c>
      <c r="L102" s="3" t="s">
        <v>869</v>
      </c>
      <c r="M102" s="3" t="s">
        <v>870</v>
      </c>
      <c r="N102" s="3" t="s">
        <v>871</v>
      </c>
      <c r="O102" s="4" t="s">
        <v>872</v>
      </c>
      <c r="P102" s="4" t="s">
        <v>873</v>
      </c>
      <c r="Q102" s="3" t="s">
        <v>48</v>
      </c>
      <c r="R102" s="3"/>
      <c r="S102" s="3" t="s">
        <v>48</v>
      </c>
      <c r="T102" s="3"/>
      <c r="U102" s="4" t="s">
        <v>874</v>
      </c>
      <c r="V102" s="5" t="s">
        <v>875</v>
      </c>
      <c r="W102" s="5"/>
      <c r="X102" s="5">
        <v>0</v>
      </c>
      <c r="Y102" s="5">
        <v>1</v>
      </c>
      <c r="Z102" s="5">
        <v>5</v>
      </c>
      <c r="AA102" s="5">
        <v>1</v>
      </c>
      <c r="AB102" s="5">
        <v>0</v>
      </c>
      <c r="AC102" s="3">
        <f t="shared" si="0"/>
        <v>0</v>
      </c>
      <c r="AD102" s="3">
        <f t="shared" si="1"/>
        <v>5</v>
      </c>
      <c r="AE102" s="5">
        <f t="shared" si="2"/>
        <v>12</v>
      </c>
      <c r="AF102" s="5" t="s">
        <v>53</v>
      </c>
    </row>
    <row r="103" spans="1:32" ht="15.75" customHeight="1" x14ac:dyDescent="0.2">
      <c r="A103" s="3" t="s">
        <v>1017</v>
      </c>
      <c r="B103" s="3" t="s">
        <v>239</v>
      </c>
      <c r="C103" s="3" t="s">
        <v>1018</v>
      </c>
      <c r="D103" s="3" t="s">
        <v>1019</v>
      </c>
      <c r="E103" s="3" t="s">
        <v>1020</v>
      </c>
      <c r="F103" s="3" t="s">
        <v>1021</v>
      </c>
      <c r="G103" s="3" t="s">
        <v>1022</v>
      </c>
      <c r="H103" s="3" t="s">
        <v>39</v>
      </c>
      <c r="I103" s="3" t="s">
        <v>1023</v>
      </c>
      <c r="J103" s="3" t="s">
        <v>1024</v>
      </c>
      <c r="K103" s="3" t="s">
        <v>1025</v>
      </c>
      <c r="L103" s="3" t="s">
        <v>1026</v>
      </c>
      <c r="M103" s="3" t="s">
        <v>1027</v>
      </c>
      <c r="N103" s="3" t="s">
        <v>1028</v>
      </c>
      <c r="O103" s="4" t="s">
        <v>1029</v>
      </c>
      <c r="P103" s="4" t="s">
        <v>1030</v>
      </c>
      <c r="Q103" s="3" t="s">
        <v>48</v>
      </c>
      <c r="R103" s="3"/>
      <c r="S103" s="3" t="s">
        <v>48</v>
      </c>
      <c r="T103" s="3"/>
      <c r="U103" s="4" t="s">
        <v>1031</v>
      </c>
      <c r="V103" s="5" t="s">
        <v>1032</v>
      </c>
      <c r="W103" s="5"/>
      <c r="X103" s="5">
        <v>0</v>
      </c>
      <c r="Y103" s="5">
        <v>0</v>
      </c>
      <c r="Z103" s="5">
        <v>5</v>
      </c>
      <c r="AA103" s="5">
        <v>2</v>
      </c>
      <c r="AB103" s="5">
        <v>0</v>
      </c>
      <c r="AC103" s="3">
        <f t="shared" si="0"/>
        <v>5</v>
      </c>
      <c r="AD103" s="3">
        <f t="shared" si="1"/>
        <v>0</v>
      </c>
      <c r="AE103" s="5">
        <f t="shared" si="2"/>
        <v>12</v>
      </c>
      <c r="AF103" s="5" t="s">
        <v>53</v>
      </c>
    </row>
    <row r="104" spans="1:32" ht="15.75" customHeight="1" x14ac:dyDescent="0.2">
      <c r="A104" s="3" t="s">
        <v>1469</v>
      </c>
      <c r="B104" s="3" t="s">
        <v>72</v>
      </c>
      <c r="C104" s="3" t="s">
        <v>1470</v>
      </c>
      <c r="D104" s="3" t="s">
        <v>1471</v>
      </c>
      <c r="E104" s="3"/>
      <c r="F104" s="3" t="s">
        <v>1472</v>
      </c>
      <c r="G104" s="3" t="s">
        <v>1473</v>
      </c>
      <c r="H104" s="3" t="s">
        <v>39</v>
      </c>
      <c r="I104" s="3" t="s">
        <v>1474</v>
      </c>
      <c r="J104" s="3" t="s">
        <v>1475</v>
      </c>
      <c r="K104" s="3" t="s">
        <v>1476</v>
      </c>
      <c r="L104" s="3" t="s">
        <v>1477</v>
      </c>
      <c r="M104" s="3" t="s">
        <v>1478</v>
      </c>
      <c r="N104" s="3" t="s">
        <v>1479</v>
      </c>
      <c r="O104" s="4" t="s">
        <v>1480</v>
      </c>
      <c r="P104" s="4" t="s">
        <v>1481</v>
      </c>
      <c r="Q104" s="3" t="s">
        <v>48</v>
      </c>
      <c r="R104" s="3"/>
      <c r="S104" s="3" t="s">
        <v>48</v>
      </c>
      <c r="T104" s="3"/>
      <c r="U104" s="4" t="s">
        <v>1482</v>
      </c>
      <c r="V104" s="5" t="s">
        <v>1483</v>
      </c>
      <c r="W104" s="5"/>
      <c r="X104" s="5">
        <v>0</v>
      </c>
      <c r="Y104" s="5">
        <v>1</v>
      </c>
      <c r="Z104" s="5">
        <v>4</v>
      </c>
      <c r="AA104" s="5">
        <v>2</v>
      </c>
      <c r="AB104" s="5">
        <v>0</v>
      </c>
      <c r="AC104" s="3">
        <f t="shared" si="0"/>
        <v>5</v>
      </c>
      <c r="AD104" s="3">
        <f t="shared" si="1"/>
        <v>0</v>
      </c>
      <c r="AE104" s="5">
        <f t="shared" si="2"/>
        <v>12</v>
      </c>
      <c r="AF104" s="5" t="s">
        <v>53</v>
      </c>
    </row>
    <row r="105" spans="1:32" ht="15.75" customHeight="1" x14ac:dyDescent="0.2">
      <c r="A105" s="3" t="s">
        <v>1080</v>
      </c>
      <c r="B105" s="3" t="s">
        <v>239</v>
      </c>
      <c r="C105" s="3" t="s">
        <v>1081</v>
      </c>
      <c r="D105" s="3" t="s">
        <v>1082</v>
      </c>
      <c r="E105" s="3" t="s">
        <v>1083</v>
      </c>
      <c r="F105" s="3" t="s">
        <v>1084</v>
      </c>
      <c r="G105" s="3" t="s">
        <v>1085</v>
      </c>
      <c r="H105" s="3" t="s">
        <v>39</v>
      </c>
      <c r="I105" s="3" t="s">
        <v>1086</v>
      </c>
      <c r="J105" s="3" t="s">
        <v>1087</v>
      </c>
      <c r="K105" s="3" t="s">
        <v>1088</v>
      </c>
      <c r="L105" s="3" t="s">
        <v>1089</v>
      </c>
      <c r="M105" s="3" t="s">
        <v>1090</v>
      </c>
      <c r="N105" s="3" t="s">
        <v>1091</v>
      </c>
      <c r="O105" s="4" t="s">
        <v>1092</v>
      </c>
      <c r="P105" s="4" t="s">
        <v>1093</v>
      </c>
      <c r="Q105" s="3" t="s">
        <v>48</v>
      </c>
      <c r="R105" s="3"/>
      <c r="S105" s="3" t="s">
        <v>48</v>
      </c>
      <c r="T105" s="3"/>
      <c r="U105" s="4" t="s">
        <v>1094</v>
      </c>
      <c r="V105" s="5" t="s">
        <v>1095</v>
      </c>
      <c r="W105" s="5" t="s">
        <v>1096</v>
      </c>
      <c r="X105" s="5">
        <v>0</v>
      </c>
      <c r="Y105" s="5">
        <v>0</v>
      </c>
      <c r="Z105" s="5">
        <v>4</v>
      </c>
      <c r="AA105" s="5">
        <v>2</v>
      </c>
      <c r="AB105" s="5">
        <v>0</v>
      </c>
      <c r="AC105" s="3">
        <f t="shared" si="0"/>
        <v>5</v>
      </c>
      <c r="AD105" s="3">
        <f t="shared" si="1"/>
        <v>0</v>
      </c>
      <c r="AE105" s="5">
        <f t="shared" si="2"/>
        <v>11</v>
      </c>
      <c r="AF105" s="5" t="s">
        <v>53</v>
      </c>
    </row>
    <row r="106" spans="1:32" ht="15.75" customHeight="1" x14ac:dyDescent="0.2">
      <c r="A106" s="3" t="s">
        <v>571</v>
      </c>
      <c r="B106" s="3" t="s">
        <v>55</v>
      </c>
      <c r="C106" s="3" t="s">
        <v>572</v>
      </c>
      <c r="D106" s="3" t="s">
        <v>573</v>
      </c>
      <c r="E106" s="3" t="s">
        <v>574</v>
      </c>
      <c r="F106" s="3" t="s">
        <v>575</v>
      </c>
      <c r="G106" s="3" t="s">
        <v>576</v>
      </c>
      <c r="H106" s="3" t="s">
        <v>39</v>
      </c>
      <c r="I106" s="3" t="s">
        <v>577</v>
      </c>
      <c r="J106" s="3" t="s">
        <v>578</v>
      </c>
      <c r="K106" s="3" t="s">
        <v>579</v>
      </c>
      <c r="L106" s="3" t="s">
        <v>580</v>
      </c>
      <c r="M106" s="3" t="s">
        <v>581</v>
      </c>
      <c r="N106" s="3" t="s">
        <v>582</v>
      </c>
      <c r="O106" s="4" t="s">
        <v>583</v>
      </c>
      <c r="P106" s="4" t="s">
        <v>584</v>
      </c>
      <c r="Q106" s="3" t="s">
        <v>49</v>
      </c>
      <c r="R106" s="3"/>
      <c r="S106" s="3" t="s">
        <v>49</v>
      </c>
      <c r="T106" s="3"/>
      <c r="U106" s="4" t="s">
        <v>585</v>
      </c>
      <c r="V106" s="5" t="s">
        <v>586</v>
      </c>
      <c r="W106" s="5"/>
      <c r="X106" s="5">
        <v>0</v>
      </c>
      <c r="Y106" s="5">
        <v>0</v>
      </c>
      <c r="Z106" s="5">
        <v>6</v>
      </c>
      <c r="AA106" s="5">
        <v>3</v>
      </c>
      <c r="AB106" s="5">
        <v>0</v>
      </c>
      <c r="AC106" s="3">
        <f t="shared" si="0"/>
        <v>0</v>
      </c>
      <c r="AD106" s="3">
        <f t="shared" si="1"/>
        <v>0</v>
      </c>
      <c r="AE106" s="5">
        <f t="shared" si="2"/>
        <v>9</v>
      </c>
      <c r="AF106" s="5" t="s">
        <v>53</v>
      </c>
    </row>
    <row r="107" spans="1:32" ht="15.75" customHeight="1" x14ac:dyDescent="0.2">
      <c r="A107" s="3" t="s">
        <v>1917</v>
      </c>
      <c r="B107" s="3" t="s">
        <v>72</v>
      </c>
      <c r="C107" s="3" t="s">
        <v>1918</v>
      </c>
      <c r="D107" s="3" t="s">
        <v>1919</v>
      </c>
      <c r="E107" s="3" t="s">
        <v>1920</v>
      </c>
      <c r="F107" s="3" t="s">
        <v>1921</v>
      </c>
      <c r="G107" s="3" t="s">
        <v>1922</v>
      </c>
      <c r="H107" s="3" t="s">
        <v>39</v>
      </c>
      <c r="I107" s="3" t="s">
        <v>1923</v>
      </c>
      <c r="J107" s="3" t="s">
        <v>1924</v>
      </c>
      <c r="K107" s="3" t="s">
        <v>1925</v>
      </c>
      <c r="L107" s="3" t="s">
        <v>1926</v>
      </c>
      <c r="M107" s="3" t="s">
        <v>1927</v>
      </c>
      <c r="N107" s="3" t="s">
        <v>1928</v>
      </c>
      <c r="O107" s="4" t="s">
        <v>1929</v>
      </c>
      <c r="P107" s="4" t="s">
        <v>1930</v>
      </c>
      <c r="Q107" s="3" t="s">
        <v>48</v>
      </c>
      <c r="R107" s="3"/>
      <c r="S107" s="3" t="s">
        <v>48</v>
      </c>
      <c r="T107" s="3"/>
      <c r="U107" s="4" t="s">
        <v>1931</v>
      </c>
      <c r="V107" s="5" t="s">
        <v>1932</v>
      </c>
      <c r="W107" s="5"/>
      <c r="X107" s="5">
        <v>0</v>
      </c>
      <c r="Y107" s="5">
        <v>1</v>
      </c>
      <c r="Z107" s="5">
        <v>1</v>
      </c>
      <c r="AA107" s="5">
        <v>1</v>
      </c>
      <c r="AB107" s="5">
        <v>0</v>
      </c>
      <c r="AC107" s="3">
        <f t="shared" si="0"/>
        <v>5</v>
      </c>
      <c r="AD107" s="3">
        <f t="shared" si="1"/>
        <v>0</v>
      </c>
      <c r="AE107" s="5">
        <f t="shared" si="2"/>
        <v>8</v>
      </c>
      <c r="AF107" s="5" t="s">
        <v>53</v>
      </c>
    </row>
    <row r="108" spans="1:32" ht="15.75" customHeight="1" x14ac:dyDescent="0.2">
      <c r="A108" s="3" t="s">
        <v>1804</v>
      </c>
      <c r="B108" s="3" t="s">
        <v>239</v>
      </c>
      <c r="C108" s="3" t="s">
        <v>1805</v>
      </c>
      <c r="D108" s="3" t="s">
        <v>1806</v>
      </c>
      <c r="E108" s="3" t="s">
        <v>258</v>
      </c>
      <c r="F108" s="3" t="s">
        <v>1807</v>
      </c>
      <c r="G108" s="3" t="s">
        <v>1808</v>
      </c>
      <c r="H108" s="3" t="s">
        <v>39</v>
      </c>
      <c r="I108" s="3" t="s">
        <v>1809</v>
      </c>
      <c r="J108" s="3" t="s">
        <v>1810</v>
      </c>
      <c r="K108" s="3" t="s">
        <v>1811</v>
      </c>
      <c r="L108" s="3" t="s">
        <v>1812</v>
      </c>
      <c r="M108" s="3" t="s">
        <v>1813</v>
      </c>
      <c r="N108" s="3" t="s">
        <v>1814</v>
      </c>
      <c r="O108" s="4" t="s">
        <v>1815</v>
      </c>
      <c r="P108" s="4" t="s">
        <v>1816</v>
      </c>
      <c r="Q108" s="3" t="s">
        <v>48</v>
      </c>
      <c r="R108" s="3"/>
      <c r="S108" s="3" t="s">
        <v>49</v>
      </c>
      <c r="T108" s="3"/>
      <c r="U108" s="4" t="s">
        <v>1817</v>
      </c>
      <c r="V108" s="5" t="s">
        <v>1818</v>
      </c>
      <c r="W108" s="5"/>
      <c r="X108" s="5">
        <v>0</v>
      </c>
      <c r="Y108" s="5">
        <v>0</v>
      </c>
      <c r="Z108" s="5">
        <v>1</v>
      </c>
      <c r="AA108" s="5">
        <v>1</v>
      </c>
      <c r="AB108" s="5">
        <v>0</v>
      </c>
      <c r="AC108" s="3">
        <f t="shared" si="0"/>
        <v>5</v>
      </c>
      <c r="AD108" s="3">
        <f t="shared" si="1"/>
        <v>0</v>
      </c>
      <c r="AE108" s="5">
        <f t="shared" si="2"/>
        <v>7</v>
      </c>
      <c r="AF108" s="5" t="s">
        <v>53</v>
      </c>
    </row>
    <row r="109" spans="1:32" ht="15.75" customHeight="1" x14ac:dyDescent="0.2">
      <c r="A109" s="3" t="s">
        <v>54</v>
      </c>
      <c r="B109" s="3" t="s">
        <v>55</v>
      </c>
      <c r="C109" s="3" t="s">
        <v>56</v>
      </c>
      <c r="D109" s="3" t="s">
        <v>57</v>
      </c>
      <c r="E109" s="3" t="s">
        <v>58</v>
      </c>
      <c r="F109" s="3" t="s">
        <v>59</v>
      </c>
      <c r="G109" s="3" t="s">
        <v>60</v>
      </c>
      <c r="H109" s="3" t="s">
        <v>39</v>
      </c>
      <c r="I109" s="3" t="s">
        <v>61</v>
      </c>
      <c r="J109" s="3" t="s">
        <v>62</v>
      </c>
      <c r="K109" s="3" t="s">
        <v>63</v>
      </c>
      <c r="L109" s="3" t="s">
        <v>64</v>
      </c>
      <c r="M109" s="3" t="s">
        <v>65</v>
      </c>
      <c r="N109" s="3" t="s">
        <v>66</v>
      </c>
      <c r="O109" s="4" t="s">
        <v>67</v>
      </c>
      <c r="P109" s="4" t="s">
        <v>68</v>
      </c>
      <c r="Q109" s="3" t="s">
        <v>48</v>
      </c>
      <c r="R109" s="3"/>
      <c r="S109" s="3" t="s">
        <v>49</v>
      </c>
      <c r="T109" s="3"/>
      <c r="U109" s="4" t="s">
        <v>69</v>
      </c>
      <c r="V109" s="5" t="s">
        <v>70</v>
      </c>
      <c r="W109" s="5"/>
      <c r="X109" s="5">
        <v>0</v>
      </c>
      <c r="Y109" s="5">
        <v>0</v>
      </c>
      <c r="Z109" s="5"/>
      <c r="AA109" s="5"/>
      <c r="AB109" s="5"/>
      <c r="AC109" s="3">
        <f t="shared" si="0"/>
        <v>0</v>
      </c>
      <c r="AD109" s="3">
        <f t="shared" si="1"/>
        <v>0</v>
      </c>
      <c r="AE109" s="5">
        <f t="shared" si="2"/>
        <v>0</v>
      </c>
      <c r="AF109" s="5"/>
    </row>
    <row r="110" spans="1:32" ht="15.75" customHeight="1" x14ac:dyDescent="0.2">
      <c r="A110" s="3" t="s">
        <v>88</v>
      </c>
      <c r="B110" s="3" t="s">
        <v>72</v>
      </c>
      <c r="C110" s="3" t="s">
        <v>89</v>
      </c>
      <c r="D110" s="3" t="s">
        <v>90</v>
      </c>
      <c r="E110" s="3" t="s">
        <v>91</v>
      </c>
      <c r="F110" s="3" t="s">
        <v>92</v>
      </c>
      <c r="G110" s="3" t="s">
        <v>93</v>
      </c>
      <c r="H110" s="3" t="s">
        <v>94</v>
      </c>
      <c r="I110" s="3" t="s">
        <v>95</v>
      </c>
      <c r="J110" s="3" t="s">
        <v>96</v>
      </c>
      <c r="K110" s="3" t="s">
        <v>97</v>
      </c>
      <c r="L110" s="3" t="s">
        <v>98</v>
      </c>
      <c r="M110" s="3" t="s">
        <v>99</v>
      </c>
      <c r="N110" s="3" t="s">
        <v>100</v>
      </c>
      <c r="O110" s="4" t="s">
        <v>101</v>
      </c>
      <c r="P110" s="4" t="s">
        <v>102</v>
      </c>
      <c r="Q110" s="3" t="s">
        <v>49</v>
      </c>
      <c r="R110" s="3"/>
      <c r="S110" s="3" t="s">
        <v>49</v>
      </c>
      <c r="T110" s="3"/>
      <c r="U110" s="4" t="s">
        <v>103</v>
      </c>
      <c r="V110" s="5" t="s">
        <v>104</v>
      </c>
      <c r="W110" s="5"/>
      <c r="X110" s="5">
        <v>0</v>
      </c>
      <c r="Y110" s="5">
        <v>0</v>
      </c>
      <c r="Z110" s="5"/>
      <c r="AA110" s="5"/>
      <c r="AB110" s="5"/>
      <c r="AC110" s="3">
        <f t="shared" si="0"/>
        <v>5</v>
      </c>
      <c r="AD110" s="3">
        <f t="shared" si="1"/>
        <v>5</v>
      </c>
      <c r="AE110" s="5">
        <f t="shared" si="2"/>
        <v>10</v>
      </c>
      <c r="AF110" s="5"/>
    </row>
    <row r="111" spans="1:32" ht="15.75" customHeight="1" x14ac:dyDescent="0.2">
      <c r="A111" s="3" t="s">
        <v>139</v>
      </c>
      <c r="B111" s="3" t="s">
        <v>72</v>
      </c>
      <c r="C111" s="3" t="s">
        <v>140</v>
      </c>
      <c r="D111" s="3" t="s">
        <v>141</v>
      </c>
      <c r="E111" s="3" t="s">
        <v>142</v>
      </c>
      <c r="F111" s="3" t="s">
        <v>143</v>
      </c>
      <c r="G111" s="3" t="s">
        <v>144</v>
      </c>
      <c r="H111" s="3" t="s">
        <v>94</v>
      </c>
      <c r="I111" s="3" t="s">
        <v>145</v>
      </c>
      <c r="J111" s="3" t="s">
        <v>146</v>
      </c>
      <c r="K111" s="3" t="s">
        <v>147</v>
      </c>
      <c r="L111" s="3" t="s">
        <v>147</v>
      </c>
      <c r="M111" s="3" t="s">
        <v>148</v>
      </c>
      <c r="N111" s="3" t="s">
        <v>149</v>
      </c>
      <c r="O111" s="4" t="s">
        <v>150</v>
      </c>
      <c r="P111" s="4" t="s">
        <v>151</v>
      </c>
      <c r="Q111" s="3" t="s">
        <v>49</v>
      </c>
      <c r="R111" s="3"/>
      <c r="S111" s="3" t="s">
        <v>49</v>
      </c>
      <c r="T111" s="3"/>
      <c r="U111" s="4" t="s">
        <v>152</v>
      </c>
      <c r="V111" s="5" t="s">
        <v>153</v>
      </c>
      <c r="W111" s="5"/>
      <c r="X111" s="5">
        <v>0</v>
      </c>
      <c r="Y111" s="5">
        <v>0</v>
      </c>
      <c r="Z111" s="5"/>
      <c r="AA111" s="5"/>
      <c r="AB111" s="5"/>
      <c r="AC111" s="3">
        <f t="shared" si="0"/>
        <v>5</v>
      </c>
      <c r="AD111" s="3">
        <f t="shared" si="1"/>
        <v>5</v>
      </c>
      <c r="AE111" s="5">
        <f t="shared" si="2"/>
        <v>10</v>
      </c>
      <c r="AF111" s="5"/>
    </row>
    <row r="112" spans="1:32" ht="15.75" customHeight="1" x14ac:dyDescent="0.2">
      <c r="A112" s="3" t="s">
        <v>171</v>
      </c>
      <c r="B112" s="3" t="s">
        <v>55</v>
      </c>
      <c r="C112" s="3" t="s">
        <v>172</v>
      </c>
      <c r="D112" s="3" t="s">
        <v>173</v>
      </c>
      <c r="E112" s="3" t="s">
        <v>174</v>
      </c>
      <c r="F112" s="3" t="s">
        <v>175</v>
      </c>
      <c r="G112" s="3" t="s">
        <v>176</v>
      </c>
      <c r="H112" s="3" t="s">
        <v>39</v>
      </c>
      <c r="I112" s="3" t="s">
        <v>177</v>
      </c>
      <c r="J112" s="3" t="s">
        <v>178</v>
      </c>
      <c r="K112" s="3" t="s">
        <v>179</v>
      </c>
      <c r="L112" s="3" t="s">
        <v>180</v>
      </c>
      <c r="M112" s="3" t="s">
        <v>181</v>
      </c>
      <c r="N112" s="3" t="s">
        <v>182</v>
      </c>
      <c r="O112" s="4" t="s">
        <v>183</v>
      </c>
      <c r="P112" s="4" t="s">
        <v>184</v>
      </c>
      <c r="Q112" s="3" t="s">
        <v>48</v>
      </c>
      <c r="R112" s="3" t="s">
        <v>48</v>
      </c>
      <c r="S112" s="3" t="s">
        <v>48</v>
      </c>
      <c r="T112" s="3"/>
      <c r="U112" s="4" t="s">
        <v>185</v>
      </c>
      <c r="V112" s="5" t="s">
        <v>186</v>
      </c>
      <c r="W112" s="5"/>
      <c r="X112" s="5">
        <v>0</v>
      </c>
      <c r="Y112" s="5">
        <v>0</v>
      </c>
      <c r="Z112" s="5"/>
      <c r="AA112" s="5"/>
      <c r="AB112" s="5"/>
      <c r="AC112" s="3">
        <f t="shared" si="0"/>
        <v>0</v>
      </c>
      <c r="AD112" s="3">
        <f t="shared" si="1"/>
        <v>0</v>
      </c>
      <c r="AE112" s="5">
        <f t="shared" si="2"/>
        <v>0</v>
      </c>
      <c r="AF112" s="5"/>
    </row>
    <row r="113" spans="1:32" ht="15.75" customHeight="1" x14ac:dyDescent="0.2">
      <c r="A113" s="3" t="s">
        <v>222</v>
      </c>
      <c r="B113" s="3" t="s">
        <v>106</v>
      </c>
      <c r="C113" s="3" t="s">
        <v>223</v>
      </c>
      <c r="D113" s="3" t="s">
        <v>224</v>
      </c>
      <c r="E113" s="3" t="s">
        <v>225</v>
      </c>
      <c r="F113" s="3" t="s">
        <v>226</v>
      </c>
      <c r="G113" s="3" t="s">
        <v>227</v>
      </c>
      <c r="H113" s="3" t="s">
        <v>39</v>
      </c>
      <c r="I113" s="3" t="s">
        <v>228</v>
      </c>
      <c r="J113" s="3" t="s">
        <v>229</v>
      </c>
      <c r="K113" s="3" t="s">
        <v>230</v>
      </c>
      <c r="L113" s="3" t="s">
        <v>231</v>
      </c>
      <c r="M113" s="3" t="s">
        <v>232</v>
      </c>
      <c r="N113" s="3" t="s">
        <v>233</v>
      </c>
      <c r="O113" s="4" t="s">
        <v>234</v>
      </c>
      <c r="P113" s="4" t="s">
        <v>235</v>
      </c>
      <c r="Q113" s="3" t="s">
        <v>48</v>
      </c>
      <c r="R113" s="3"/>
      <c r="S113" s="3" t="s">
        <v>49</v>
      </c>
      <c r="T113" s="3"/>
      <c r="U113" s="4" t="s">
        <v>236</v>
      </c>
      <c r="V113" s="5" t="s">
        <v>237</v>
      </c>
      <c r="W113" s="5"/>
      <c r="X113" s="5">
        <v>0</v>
      </c>
      <c r="Y113" s="5">
        <v>0</v>
      </c>
      <c r="Z113" s="5"/>
      <c r="AA113" s="5"/>
      <c r="AB113" s="5"/>
      <c r="AC113" s="3">
        <f t="shared" si="0"/>
        <v>5</v>
      </c>
      <c r="AD113" s="3">
        <f t="shared" si="1"/>
        <v>0</v>
      </c>
      <c r="AE113" s="5">
        <f t="shared" si="2"/>
        <v>5</v>
      </c>
      <c r="AF113" s="5"/>
    </row>
    <row r="114" spans="1:32" ht="15.75" customHeight="1" x14ac:dyDescent="0.2">
      <c r="A114" s="3" t="s">
        <v>255</v>
      </c>
      <c r="B114" s="3" t="s">
        <v>72</v>
      </c>
      <c r="C114" s="3" t="s">
        <v>256</v>
      </c>
      <c r="D114" s="3" t="s">
        <v>257</v>
      </c>
      <c r="E114" s="3" t="s">
        <v>258</v>
      </c>
      <c r="F114" s="3" t="s">
        <v>259</v>
      </c>
      <c r="G114" s="3" t="s">
        <v>260</v>
      </c>
      <c r="H114" s="3" t="s">
        <v>39</v>
      </c>
      <c r="I114" s="3" t="s">
        <v>261</v>
      </c>
      <c r="J114" s="3" t="s">
        <v>262</v>
      </c>
      <c r="K114" s="3" t="s">
        <v>263</v>
      </c>
      <c r="L114" s="3" t="s">
        <v>264</v>
      </c>
      <c r="M114" s="3" t="s">
        <v>265</v>
      </c>
      <c r="N114" s="3" t="s">
        <v>266</v>
      </c>
      <c r="O114" s="4" t="s">
        <v>267</v>
      </c>
      <c r="P114" s="4" t="s">
        <v>268</v>
      </c>
      <c r="Q114" s="3" t="s">
        <v>49</v>
      </c>
      <c r="R114" s="3"/>
      <c r="S114" s="3" t="s">
        <v>49</v>
      </c>
      <c r="T114" s="3"/>
      <c r="U114" s="4" t="s">
        <v>269</v>
      </c>
      <c r="V114" s="5" t="s">
        <v>270</v>
      </c>
      <c r="W114" s="5"/>
      <c r="X114" s="5">
        <v>0</v>
      </c>
      <c r="Y114" s="5">
        <v>0</v>
      </c>
      <c r="Z114" s="5"/>
      <c r="AA114" s="5"/>
      <c r="AB114" s="5"/>
      <c r="AC114" s="3">
        <f t="shared" si="0"/>
        <v>5</v>
      </c>
      <c r="AD114" s="3">
        <f t="shared" si="1"/>
        <v>0</v>
      </c>
      <c r="AE114" s="5">
        <f t="shared" si="2"/>
        <v>5</v>
      </c>
      <c r="AF114" s="5"/>
    </row>
    <row r="115" spans="1:32" ht="15.75" customHeight="1" x14ac:dyDescent="0.2">
      <c r="A115" s="3" t="s">
        <v>487</v>
      </c>
      <c r="B115" s="3" t="s">
        <v>106</v>
      </c>
      <c r="C115" s="3" t="s">
        <v>488</v>
      </c>
      <c r="D115" s="3" t="s">
        <v>489</v>
      </c>
      <c r="E115" s="3" t="s">
        <v>490</v>
      </c>
      <c r="F115" s="3" t="s">
        <v>491</v>
      </c>
      <c r="G115" s="3" t="s">
        <v>492</v>
      </c>
      <c r="H115" s="3" t="s">
        <v>94</v>
      </c>
      <c r="I115" s="3" t="s">
        <v>493</v>
      </c>
      <c r="J115" s="3" t="s">
        <v>494</v>
      </c>
      <c r="K115" s="3" t="s">
        <v>495</v>
      </c>
      <c r="L115" s="3" t="s">
        <v>496</v>
      </c>
      <c r="M115" s="3" t="s">
        <v>497</v>
      </c>
      <c r="N115" s="3" t="s">
        <v>498</v>
      </c>
      <c r="O115" s="4" t="s">
        <v>499</v>
      </c>
      <c r="P115" s="4" t="s">
        <v>500</v>
      </c>
      <c r="Q115" s="3" t="s">
        <v>48</v>
      </c>
      <c r="R115" s="3"/>
      <c r="S115" s="3" t="s">
        <v>49</v>
      </c>
      <c r="T115" s="3"/>
      <c r="U115" s="4" t="s">
        <v>501</v>
      </c>
      <c r="V115" s="5" t="s">
        <v>502</v>
      </c>
      <c r="W115" s="5"/>
      <c r="X115" s="5">
        <v>0</v>
      </c>
      <c r="Y115" s="5"/>
      <c r="Z115" s="5"/>
      <c r="AA115" s="5"/>
      <c r="AB115" s="5"/>
      <c r="AC115" s="3">
        <f t="shared" si="0"/>
        <v>5</v>
      </c>
      <c r="AD115" s="3">
        <f t="shared" si="1"/>
        <v>5</v>
      </c>
      <c r="AE115" s="5">
        <f t="shared" si="2"/>
        <v>10</v>
      </c>
      <c r="AF115" s="5"/>
    </row>
    <row r="116" spans="1:32" ht="15.75" customHeight="1" x14ac:dyDescent="0.2">
      <c r="A116" s="3" t="s">
        <v>603</v>
      </c>
      <c r="B116" s="3" t="s">
        <v>55</v>
      </c>
      <c r="C116" s="3" t="s">
        <v>604</v>
      </c>
      <c r="D116" s="3" t="s">
        <v>605</v>
      </c>
      <c r="E116" s="3" t="s">
        <v>147</v>
      </c>
      <c r="F116" s="3" t="s">
        <v>606</v>
      </c>
      <c r="G116" s="3" t="s">
        <v>607</v>
      </c>
      <c r="H116" s="3" t="s">
        <v>39</v>
      </c>
      <c r="I116" s="3" t="s">
        <v>608</v>
      </c>
      <c r="J116" s="3" t="s">
        <v>609</v>
      </c>
      <c r="K116" s="3" t="s">
        <v>610</v>
      </c>
      <c r="L116" s="3" t="s">
        <v>611</v>
      </c>
      <c r="M116" s="3" t="s">
        <v>612</v>
      </c>
      <c r="N116" s="3" t="s">
        <v>613</v>
      </c>
      <c r="O116" s="4" t="s">
        <v>614</v>
      </c>
      <c r="P116" s="4" t="s">
        <v>615</v>
      </c>
      <c r="Q116" s="3" t="s">
        <v>48</v>
      </c>
      <c r="R116" s="3"/>
      <c r="S116" s="3" t="s">
        <v>49</v>
      </c>
      <c r="T116" s="3"/>
      <c r="U116" s="4" t="s">
        <v>616</v>
      </c>
      <c r="V116" s="5" t="s">
        <v>617</v>
      </c>
      <c r="W116" s="5"/>
      <c r="X116" s="5">
        <v>0</v>
      </c>
      <c r="Y116" s="5"/>
      <c r="Z116" s="5"/>
      <c r="AA116" s="5"/>
      <c r="AB116" s="5"/>
      <c r="AC116" s="3">
        <f t="shared" si="0"/>
        <v>0</v>
      </c>
      <c r="AD116" s="3">
        <f t="shared" si="1"/>
        <v>0</v>
      </c>
      <c r="AE116" s="5">
        <f t="shared" si="2"/>
        <v>0</v>
      </c>
      <c r="AF116" s="5"/>
    </row>
    <row r="117" spans="1:32" ht="15.75" customHeight="1" x14ac:dyDescent="0.2">
      <c r="A117" s="3" t="s">
        <v>716</v>
      </c>
      <c r="B117" s="3" t="s">
        <v>106</v>
      </c>
      <c r="C117" s="3" t="s">
        <v>717</v>
      </c>
      <c r="D117" s="3" t="s">
        <v>718</v>
      </c>
      <c r="E117" s="3" t="s">
        <v>719</v>
      </c>
      <c r="F117" s="3" t="s">
        <v>720</v>
      </c>
      <c r="G117" s="3" t="s">
        <v>721</v>
      </c>
      <c r="H117" s="3" t="s">
        <v>39</v>
      </c>
      <c r="I117" s="3" t="s">
        <v>722</v>
      </c>
      <c r="J117" s="3" t="s">
        <v>723</v>
      </c>
      <c r="K117" s="3" t="s">
        <v>724</v>
      </c>
      <c r="L117" s="3" t="s">
        <v>725</v>
      </c>
      <c r="M117" s="3" t="s">
        <v>726</v>
      </c>
      <c r="N117" s="3" t="s">
        <v>727</v>
      </c>
      <c r="O117" s="4" t="s">
        <v>728</v>
      </c>
      <c r="P117" s="4" t="s">
        <v>729</v>
      </c>
      <c r="Q117" s="3" t="s">
        <v>48</v>
      </c>
      <c r="R117" s="3"/>
      <c r="S117" s="3" t="s">
        <v>48</v>
      </c>
      <c r="T117" s="3"/>
      <c r="U117" s="4" t="s">
        <v>730</v>
      </c>
      <c r="V117" s="5" t="s">
        <v>731</v>
      </c>
      <c r="W117" s="5"/>
      <c r="X117" s="5">
        <v>0</v>
      </c>
      <c r="Y117" s="5"/>
      <c r="Z117" s="5"/>
      <c r="AA117" s="5"/>
      <c r="AB117" s="5"/>
      <c r="AC117" s="3">
        <f t="shared" si="0"/>
        <v>5</v>
      </c>
      <c r="AD117" s="3">
        <f t="shared" si="1"/>
        <v>0</v>
      </c>
      <c r="AE117" s="5">
        <f t="shared" si="2"/>
        <v>5</v>
      </c>
      <c r="AF117" s="5"/>
    </row>
    <row r="118" spans="1:32" ht="15.75" customHeight="1" x14ac:dyDescent="0.2">
      <c r="A118" s="3" t="s">
        <v>1191</v>
      </c>
      <c r="B118" s="3" t="s">
        <v>55</v>
      </c>
      <c r="C118" s="3" t="s">
        <v>1192</v>
      </c>
      <c r="D118" s="3" t="s">
        <v>1192</v>
      </c>
      <c r="E118" s="3" t="s">
        <v>1193</v>
      </c>
      <c r="F118" s="3" t="s">
        <v>1194</v>
      </c>
      <c r="G118" s="3" t="s">
        <v>1195</v>
      </c>
      <c r="H118" s="3" t="s">
        <v>39</v>
      </c>
      <c r="I118" s="3" t="s">
        <v>1196</v>
      </c>
      <c r="J118" s="3" t="s">
        <v>1197</v>
      </c>
      <c r="K118" s="3" t="s">
        <v>1198</v>
      </c>
      <c r="L118" s="3" t="s">
        <v>1199</v>
      </c>
      <c r="M118" s="3" t="s">
        <v>1200</v>
      </c>
      <c r="N118" s="3" t="s">
        <v>1201</v>
      </c>
      <c r="O118" s="4" t="s">
        <v>1202</v>
      </c>
      <c r="P118" s="4" t="s">
        <v>1203</v>
      </c>
      <c r="Q118" s="3" t="s">
        <v>49</v>
      </c>
      <c r="R118" s="3"/>
      <c r="S118" s="3" t="s">
        <v>49</v>
      </c>
      <c r="T118" s="3"/>
      <c r="U118" s="4" t="s">
        <v>1204</v>
      </c>
      <c r="V118" s="5" t="s">
        <v>1205</v>
      </c>
      <c r="W118" s="5"/>
      <c r="X118" s="5">
        <v>0</v>
      </c>
      <c r="Y118" s="5"/>
      <c r="Z118" s="5"/>
      <c r="AA118" s="5"/>
      <c r="AB118" s="5"/>
      <c r="AC118" s="3">
        <f t="shared" si="0"/>
        <v>0</v>
      </c>
      <c r="AD118" s="3">
        <f t="shared" si="1"/>
        <v>0</v>
      </c>
      <c r="AE118" s="5">
        <f t="shared" si="2"/>
        <v>0</v>
      </c>
      <c r="AF118" s="5"/>
    </row>
    <row r="119" spans="1:32" ht="15.75" customHeight="1" x14ac:dyDescent="0.2">
      <c r="A119" s="3" t="s">
        <v>1243</v>
      </c>
      <c r="B119" s="3" t="s">
        <v>239</v>
      </c>
      <c r="C119" s="3" t="s">
        <v>1244</v>
      </c>
      <c r="D119" s="3" t="s">
        <v>1245</v>
      </c>
      <c r="E119" s="3" t="s">
        <v>1246</v>
      </c>
      <c r="F119" s="3" t="s">
        <v>1247</v>
      </c>
      <c r="G119" s="3" t="s">
        <v>1248</v>
      </c>
      <c r="H119" s="3" t="s">
        <v>94</v>
      </c>
      <c r="I119" s="3" t="s">
        <v>1249</v>
      </c>
      <c r="J119" s="3" t="s">
        <v>1250</v>
      </c>
      <c r="K119" s="3" t="s">
        <v>1251</v>
      </c>
      <c r="L119" s="3" t="s">
        <v>1252</v>
      </c>
      <c r="M119" s="3" t="s">
        <v>1253</v>
      </c>
      <c r="N119" s="3" t="s">
        <v>1254</v>
      </c>
      <c r="O119" s="4" t="s">
        <v>1255</v>
      </c>
      <c r="P119" s="4" t="s">
        <v>1256</v>
      </c>
      <c r="Q119" s="3" t="s">
        <v>48</v>
      </c>
      <c r="R119" s="3"/>
      <c r="S119" s="3" t="s">
        <v>49</v>
      </c>
      <c r="T119" s="3"/>
      <c r="U119" s="4" t="s">
        <v>1257</v>
      </c>
      <c r="V119" s="5" t="s">
        <v>1258</v>
      </c>
      <c r="W119" s="5"/>
      <c r="X119" s="5">
        <v>0</v>
      </c>
      <c r="Y119" s="5"/>
      <c r="Z119" s="5"/>
      <c r="AA119" s="5"/>
      <c r="AB119" s="5"/>
      <c r="AC119" s="3">
        <f t="shared" si="0"/>
        <v>5</v>
      </c>
      <c r="AD119" s="3">
        <f t="shared" si="1"/>
        <v>5</v>
      </c>
      <c r="AE119" s="5">
        <f t="shared" si="2"/>
        <v>10</v>
      </c>
      <c r="AF119" s="5"/>
    </row>
    <row r="120" spans="1:32" ht="15.75" customHeight="1" x14ac:dyDescent="0.2">
      <c r="A120" s="3" t="s">
        <v>1641</v>
      </c>
      <c r="B120" s="3" t="s">
        <v>106</v>
      </c>
      <c r="C120" s="3" t="s">
        <v>1642</v>
      </c>
      <c r="D120" s="3" t="s">
        <v>1643</v>
      </c>
      <c r="E120" s="3" t="s">
        <v>1644</v>
      </c>
      <c r="F120" s="3" t="s">
        <v>1645</v>
      </c>
      <c r="G120" s="3" t="s">
        <v>1646</v>
      </c>
      <c r="H120" s="3" t="s">
        <v>94</v>
      </c>
      <c r="I120" s="3" t="s">
        <v>1647</v>
      </c>
      <c r="J120" s="3" t="s">
        <v>1648</v>
      </c>
      <c r="K120" s="3" t="s">
        <v>1649</v>
      </c>
      <c r="L120" s="3" t="s">
        <v>1650</v>
      </c>
      <c r="M120" s="3" t="s">
        <v>1651</v>
      </c>
      <c r="N120" s="3" t="s">
        <v>1652</v>
      </c>
      <c r="O120" s="4" t="s">
        <v>1653</v>
      </c>
      <c r="P120" s="4" t="s">
        <v>1654</v>
      </c>
      <c r="Q120" s="3" t="s">
        <v>49</v>
      </c>
      <c r="R120" s="3"/>
      <c r="S120" s="3" t="s">
        <v>49</v>
      </c>
      <c r="T120" s="3"/>
      <c r="U120" s="4" t="s">
        <v>1655</v>
      </c>
      <c r="V120" s="5" t="s">
        <v>1656</v>
      </c>
      <c r="W120" s="5"/>
      <c r="X120" s="5">
        <v>0</v>
      </c>
      <c r="Y120" s="5"/>
      <c r="Z120" s="5"/>
      <c r="AA120" s="5"/>
      <c r="AB120" s="5"/>
      <c r="AC120" s="3">
        <f t="shared" si="0"/>
        <v>5</v>
      </c>
      <c r="AD120" s="3">
        <f t="shared" si="1"/>
        <v>5</v>
      </c>
      <c r="AE120" s="5">
        <f t="shared" si="2"/>
        <v>10</v>
      </c>
      <c r="AF120" s="5"/>
    </row>
    <row r="121" spans="1:32" ht="15.75" customHeight="1" x14ac:dyDescent="0.2">
      <c r="A121" s="3" t="s">
        <v>1707</v>
      </c>
      <c r="B121" s="3" t="s">
        <v>55</v>
      </c>
      <c r="C121" s="3" t="s">
        <v>1708</v>
      </c>
      <c r="D121" s="3" t="s">
        <v>1709</v>
      </c>
      <c r="E121" s="3" t="s">
        <v>1710</v>
      </c>
      <c r="F121" s="3" t="s">
        <v>1711</v>
      </c>
      <c r="G121" s="3" t="s">
        <v>1712</v>
      </c>
      <c r="H121" s="3" t="s">
        <v>94</v>
      </c>
      <c r="I121" s="3" t="s">
        <v>1713</v>
      </c>
      <c r="J121" s="3" t="s">
        <v>1714</v>
      </c>
      <c r="K121" s="3" t="s">
        <v>1715</v>
      </c>
      <c r="L121" s="3" t="s">
        <v>1716</v>
      </c>
      <c r="M121" s="3" t="s">
        <v>1717</v>
      </c>
      <c r="N121" s="3" t="s">
        <v>1718</v>
      </c>
      <c r="O121" s="4" t="s">
        <v>1719</v>
      </c>
      <c r="P121" s="4" t="s">
        <v>1720</v>
      </c>
      <c r="Q121" s="3" t="s">
        <v>48</v>
      </c>
      <c r="R121" s="3"/>
      <c r="S121" s="3" t="s">
        <v>48</v>
      </c>
      <c r="T121" s="3"/>
      <c r="U121" s="4" t="s">
        <v>1721</v>
      </c>
      <c r="V121" s="5" t="s">
        <v>1722</v>
      </c>
      <c r="W121" s="5"/>
      <c r="X121" s="5">
        <v>0</v>
      </c>
      <c r="Y121" s="5"/>
      <c r="Z121" s="5"/>
      <c r="AA121" s="5"/>
      <c r="AB121" s="5"/>
      <c r="AC121" s="3">
        <f t="shared" si="0"/>
        <v>0</v>
      </c>
      <c r="AD121" s="3">
        <f t="shared" si="1"/>
        <v>5</v>
      </c>
      <c r="AE121" s="5">
        <f t="shared" si="2"/>
        <v>5</v>
      </c>
      <c r="AF121" s="5"/>
    </row>
    <row r="122" spans="1:32"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spans="1:32"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spans="1:32"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spans="1:32"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spans="1:32"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spans="1:32"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spans="1:32"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spans="1:32"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spans="1:32"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spans="1:32"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1:32"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1:32"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spans="1:32"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spans="1:32"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spans="1:32"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spans="1:32"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spans="1:32"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spans="1:32"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spans="1:32"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spans="1:32"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spans="1:32"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spans="1:32"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spans="1:32"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spans="1:32"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spans="1:32"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spans="1:32"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spans="1:32"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spans="1:32"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spans="1:32"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spans="1:32"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spans="1:32"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spans="1:32"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1:32"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spans="1:32"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spans="1:32"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spans="1:32"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spans="1:32"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spans="1:32"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spans="1:32"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spans="1:32"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spans="1:32"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spans="1:32"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spans="1:32"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spans="1:32"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spans="1:32"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spans="1:32"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spans="1:32"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spans="1:32"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spans="1:32"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spans="1:32"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spans="1:32"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spans="1:32"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1:32"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spans="1:32"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spans="1:32"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spans="1:32"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spans="1:32"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spans="1:32"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spans="1:32"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spans="1:32"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spans="1:32"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spans="1:32"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spans="1:32"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spans="1:32"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spans="1:32"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spans="1:32"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spans="1:32"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spans="1:32"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spans="1:32"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spans="1:32"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spans="1:32"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spans="1:32"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1:32"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1:32"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spans="1:32"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spans="1:32"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spans="1:32"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spans="1:32"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spans="1:32"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spans="1:32"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spans="1:32"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spans="1:32"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spans="1:32"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spans="1:32"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spans="1:32"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spans="1:32"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spans="1:32"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spans="1:32"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spans="1:32"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spans="1:32"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spans="1:32"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hyperlinks>
    <hyperlink ref="T1" r:id="rId1" xr:uid="{00000000-0004-0000-0100-000000000000}"/>
    <hyperlink ref="O2" r:id="rId2" xr:uid="{00000000-0004-0000-0100-000001000000}"/>
    <hyperlink ref="P2" r:id="rId3" xr:uid="{00000000-0004-0000-0100-000002000000}"/>
    <hyperlink ref="U2" r:id="rId4" xr:uid="{00000000-0004-0000-0100-000003000000}"/>
    <hyperlink ref="O3" r:id="rId5" xr:uid="{00000000-0004-0000-0100-000004000000}"/>
    <hyperlink ref="P3" r:id="rId6" xr:uid="{00000000-0004-0000-0100-000005000000}"/>
    <hyperlink ref="U3" r:id="rId7" xr:uid="{00000000-0004-0000-0100-000006000000}"/>
    <hyperlink ref="O4" r:id="rId8" xr:uid="{00000000-0004-0000-0100-000007000000}"/>
    <hyperlink ref="P4" r:id="rId9" xr:uid="{00000000-0004-0000-0100-000008000000}"/>
    <hyperlink ref="U4" r:id="rId10" xr:uid="{00000000-0004-0000-0100-000009000000}"/>
    <hyperlink ref="O5" r:id="rId11" xr:uid="{00000000-0004-0000-0100-00000A000000}"/>
    <hyperlink ref="P5" r:id="rId12" xr:uid="{00000000-0004-0000-0100-00000B000000}"/>
    <hyperlink ref="U5" r:id="rId13" xr:uid="{00000000-0004-0000-0100-00000C000000}"/>
    <hyperlink ref="O6" r:id="rId14" xr:uid="{00000000-0004-0000-0100-00000D000000}"/>
    <hyperlink ref="P6" r:id="rId15" xr:uid="{00000000-0004-0000-0100-00000E000000}"/>
    <hyperlink ref="U6" r:id="rId16" xr:uid="{00000000-0004-0000-0100-00000F000000}"/>
    <hyperlink ref="O7" r:id="rId17" xr:uid="{00000000-0004-0000-0100-000010000000}"/>
    <hyperlink ref="P7" r:id="rId18" xr:uid="{00000000-0004-0000-0100-000011000000}"/>
    <hyperlink ref="U7" r:id="rId19" xr:uid="{00000000-0004-0000-0100-000012000000}"/>
    <hyperlink ref="O8" r:id="rId20" xr:uid="{00000000-0004-0000-0100-000013000000}"/>
    <hyperlink ref="P8" r:id="rId21" xr:uid="{00000000-0004-0000-0100-000014000000}"/>
    <hyperlink ref="U8" r:id="rId22" xr:uid="{00000000-0004-0000-0100-000015000000}"/>
    <hyperlink ref="O9" r:id="rId23" xr:uid="{00000000-0004-0000-0100-000016000000}"/>
    <hyperlink ref="P9" r:id="rId24" xr:uid="{00000000-0004-0000-0100-000017000000}"/>
    <hyperlink ref="U9" r:id="rId25" xr:uid="{00000000-0004-0000-0100-000018000000}"/>
    <hyperlink ref="O10" r:id="rId26" xr:uid="{00000000-0004-0000-0100-000019000000}"/>
    <hyperlink ref="P10" r:id="rId27" xr:uid="{00000000-0004-0000-0100-00001A000000}"/>
    <hyperlink ref="U10" r:id="rId28" xr:uid="{00000000-0004-0000-0100-00001B000000}"/>
    <hyperlink ref="O11" r:id="rId29" xr:uid="{00000000-0004-0000-0100-00001C000000}"/>
    <hyperlink ref="P11" r:id="rId30" xr:uid="{00000000-0004-0000-0100-00001D000000}"/>
    <hyperlink ref="U11" r:id="rId31" xr:uid="{00000000-0004-0000-0100-00001E000000}"/>
    <hyperlink ref="O12" r:id="rId32" xr:uid="{00000000-0004-0000-0100-00001F000000}"/>
    <hyperlink ref="P12" r:id="rId33" xr:uid="{00000000-0004-0000-0100-000020000000}"/>
    <hyperlink ref="U12" r:id="rId34" xr:uid="{00000000-0004-0000-0100-000021000000}"/>
    <hyperlink ref="O13" r:id="rId35" xr:uid="{00000000-0004-0000-0100-000022000000}"/>
    <hyperlink ref="P13" r:id="rId36" xr:uid="{00000000-0004-0000-0100-000023000000}"/>
    <hyperlink ref="U13" r:id="rId37" xr:uid="{00000000-0004-0000-0100-000024000000}"/>
    <hyperlink ref="O14" r:id="rId38" xr:uid="{00000000-0004-0000-0100-000025000000}"/>
    <hyperlink ref="P14" r:id="rId39" xr:uid="{00000000-0004-0000-0100-000026000000}"/>
    <hyperlink ref="U14" r:id="rId40" xr:uid="{00000000-0004-0000-0100-000027000000}"/>
    <hyperlink ref="O15" r:id="rId41" xr:uid="{00000000-0004-0000-0100-000028000000}"/>
    <hyperlink ref="P15" r:id="rId42" xr:uid="{00000000-0004-0000-0100-000029000000}"/>
    <hyperlink ref="U15" r:id="rId43" xr:uid="{00000000-0004-0000-0100-00002A000000}"/>
    <hyperlink ref="O16" r:id="rId44" xr:uid="{00000000-0004-0000-0100-00002B000000}"/>
    <hyperlink ref="P16" r:id="rId45" xr:uid="{00000000-0004-0000-0100-00002C000000}"/>
    <hyperlink ref="U16" r:id="rId46" xr:uid="{00000000-0004-0000-0100-00002D000000}"/>
    <hyperlink ref="O17" r:id="rId47" xr:uid="{00000000-0004-0000-0100-00002E000000}"/>
    <hyperlink ref="P17" r:id="rId48" xr:uid="{00000000-0004-0000-0100-00002F000000}"/>
    <hyperlink ref="U17" r:id="rId49" xr:uid="{00000000-0004-0000-0100-000030000000}"/>
    <hyperlink ref="O18" r:id="rId50" xr:uid="{00000000-0004-0000-0100-000031000000}"/>
    <hyperlink ref="P18" r:id="rId51" xr:uid="{00000000-0004-0000-0100-000032000000}"/>
    <hyperlink ref="U18" r:id="rId52" xr:uid="{00000000-0004-0000-0100-000033000000}"/>
    <hyperlink ref="O19" r:id="rId53" xr:uid="{00000000-0004-0000-0100-000034000000}"/>
    <hyperlink ref="P19" r:id="rId54" xr:uid="{00000000-0004-0000-0100-000035000000}"/>
    <hyperlink ref="U19" r:id="rId55" xr:uid="{00000000-0004-0000-0100-000036000000}"/>
    <hyperlink ref="O20" r:id="rId56" xr:uid="{00000000-0004-0000-0100-000037000000}"/>
    <hyperlink ref="P20" r:id="rId57" xr:uid="{00000000-0004-0000-0100-000038000000}"/>
    <hyperlink ref="U20" r:id="rId58" xr:uid="{00000000-0004-0000-0100-000039000000}"/>
    <hyperlink ref="O21" r:id="rId59" xr:uid="{00000000-0004-0000-0100-00003A000000}"/>
    <hyperlink ref="P21" r:id="rId60" xr:uid="{00000000-0004-0000-0100-00003B000000}"/>
    <hyperlink ref="U21" r:id="rId61" xr:uid="{00000000-0004-0000-0100-00003C000000}"/>
    <hyperlink ref="O22" r:id="rId62" xr:uid="{00000000-0004-0000-0100-00003D000000}"/>
    <hyperlink ref="P22" r:id="rId63" xr:uid="{00000000-0004-0000-0100-00003E000000}"/>
    <hyperlink ref="U22" r:id="rId64" xr:uid="{00000000-0004-0000-0100-00003F000000}"/>
    <hyperlink ref="O23" r:id="rId65" xr:uid="{00000000-0004-0000-0100-000040000000}"/>
    <hyperlink ref="P23" r:id="rId66" xr:uid="{00000000-0004-0000-0100-000041000000}"/>
    <hyperlink ref="U23" r:id="rId67" xr:uid="{00000000-0004-0000-0100-000042000000}"/>
    <hyperlink ref="O24" r:id="rId68" xr:uid="{00000000-0004-0000-0100-000043000000}"/>
    <hyperlink ref="P24" r:id="rId69" xr:uid="{00000000-0004-0000-0100-000044000000}"/>
    <hyperlink ref="U24" r:id="rId70" xr:uid="{00000000-0004-0000-0100-000045000000}"/>
    <hyperlink ref="O25" r:id="rId71" xr:uid="{00000000-0004-0000-0100-000046000000}"/>
    <hyperlink ref="P25" r:id="rId72" xr:uid="{00000000-0004-0000-0100-000047000000}"/>
    <hyperlink ref="U25" r:id="rId73" xr:uid="{00000000-0004-0000-0100-000048000000}"/>
    <hyperlink ref="O26" r:id="rId74" xr:uid="{00000000-0004-0000-0100-000049000000}"/>
    <hyperlink ref="P26" r:id="rId75" xr:uid="{00000000-0004-0000-0100-00004A000000}"/>
    <hyperlink ref="U26" r:id="rId76" xr:uid="{00000000-0004-0000-0100-00004B000000}"/>
    <hyperlink ref="O27" r:id="rId77" xr:uid="{00000000-0004-0000-0100-00004C000000}"/>
    <hyperlink ref="P27" r:id="rId78" xr:uid="{00000000-0004-0000-0100-00004D000000}"/>
    <hyperlink ref="U27" r:id="rId79" xr:uid="{00000000-0004-0000-0100-00004E000000}"/>
    <hyperlink ref="O28" r:id="rId80" xr:uid="{00000000-0004-0000-0100-00004F000000}"/>
    <hyperlink ref="P28" r:id="rId81" xr:uid="{00000000-0004-0000-0100-000050000000}"/>
    <hyperlink ref="U28" r:id="rId82" xr:uid="{00000000-0004-0000-0100-000051000000}"/>
    <hyperlink ref="O29" r:id="rId83" xr:uid="{00000000-0004-0000-0100-000052000000}"/>
    <hyperlink ref="P29" r:id="rId84" xr:uid="{00000000-0004-0000-0100-000053000000}"/>
    <hyperlink ref="U29" r:id="rId85" xr:uid="{00000000-0004-0000-0100-000054000000}"/>
    <hyperlink ref="O30" r:id="rId86" xr:uid="{00000000-0004-0000-0100-000055000000}"/>
    <hyperlink ref="P30" r:id="rId87" xr:uid="{00000000-0004-0000-0100-000056000000}"/>
    <hyperlink ref="U30" r:id="rId88" xr:uid="{00000000-0004-0000-0100-000057000000}"/>
    <hyperlink ref="O31" r:id="rId89" xr:uid="{00000000-0004-0000-0100-000058000000}"/>
    <hyperlink ref="P31" r:id="rId90" xr:uid="{00000000-0004-0000-0100-000059000000}"/>
    <hyperlink ref="U31" r:id="rId91" xr:uid="{00000000-0004-0000-0100-00005A000000}"/>
    <hyperlink ref="O32" r:id="rId92" xr:uid="{00000000-0004-0000-0100-00005B000000}"/>
    <hyperlink ref="P32" r:id="rId93" xr:uid="{00000000-0004-0000-0100-00005C000000}"/>
    <hyperlink ref="U32" r:id="rId94" xr:uid="{00000000-0004-0000-0100-00005D000000}"/>
    <hyperlink ref="O33" r:id="rId95" xr:uid="{00000000-0004-0000-0100-00005E000000}"/>
    <hyperlink ref="P33" r:id="rId96" xr:uid="{00000000-0004-0000-0100-00005F000000}"/>
    <hyperlink ref="U33" r:id="rId97" xr:uid="{00000000-0004-0000-0100-000060000000}"/>
    <hyperlink ref="O34" r:id="rId98" xr:uid="{00000000-0004-0000-0100-000061000000}"/>
    <hyperlink ref="P34" r:id="rId99" xr:uid="{00000000-0004-0000-0100-000062000000}"/>
    <hyperlink ref="U34" r:id="rId100" xr:uid="{00000000-0004-0000-0100-000063000000}"/>
    <hyperlink ref="O35" r:id="rId101" xr:uid="{00000000-0004-0000-0100-000064000000}"/>
    <hyperlink ref="P35" r:id="rId102" xr:uid="{00000000-0004-0000-0100-000065000000}"/>
    <hyperlink ref="U35" r:id="rId103" xr:uid="{00000000-0004-0000-0100-000066000000}"/>
    <hyperlink ref="O36" r:id="rId104" xr:uid="{00000000-0004-0000-0100-000067000000}"/>
    <hyperlink ref="P36" r:id="rId105" xr:uid="{00000000-0004-0000-0100-000068000000}"/>
    <hyperlink ref="U36" r:id="rId106" xr:uid="{00000000-0004-0000-0100-000069000000}"/>
    <hyperlink ref="O37" r:id="rId107" xr:uid="{00000000-0004-0000-0100-00006A000000}"/>
    <hyperlink ref="P37" r:id="rId108" xr:uid="{00000000-0004-0000-0100-00006B000000}"/>
    <hyperlink ref="U37" r:id="rId109" xr:uid="{00000000-0004-0000-0100-00006C000000}"/>
    <hyperlink ref="O38" r:id="rId110" xr:uid="{00000000-0004-0000-0100-00006D000000}"/>
    <hyperlink ref="P38" r:id="rId111" xr:uid="{00000000-0004-0000-0100-00006E000000}"/>
    <hyperlink ref="U38" r:id="rId112" xr:uid="{00000000-0004-0000-0100-00006F000000}"/>
    <hyperlink ref="O39" r:id="rId113" xr:uid="{00000000-0004-0000-0100-000070000000}"/>
    <hyperlink ref="P39" r:id="rId114" xr:uid="{00000000-0004-0000-0100-000071000000}"/>
    <hyperlink ref="U39" r:id="rId115" xr:uid="{00000000-0004-0000-0100-000072000000}"/>
    <hyperlink ref="O40" r:id="rId116" xr:uid="{00000000-0004-0000-0100-000073000000}"/>
    <hyperlink ref="P40" r:id="rId117" xr:uid="{00000000-0004-0000-0100-000074000000}"/>
    <hyperlink ref="U40" r:id="rId118" xr:uid="{00000000-0004-0000-0100-000075000000}"/>
    <hyperlink ref="O41" r:id="rId119" xr:uid="{00000000-0004-0000-0100-000076000000}"/>
    <hyperlink ref="P41" r:id="rId120" xr:uid="{00000000-0004-0000-0100-000077000000}"/>
    <hyperlink ref="U41" r:id="rId121" xr:uid="{00000000-0004-0000-0100-000078000000}"/>
    <hyperlink ref="O42" r:id="rId122" xr:uid="{00000000-0004-0000-0100-000079000000}"/>
    <hyperlink ref="P42" r:id="rId123" xr:uid="{00000000-0004-0000-0100-00007A000000}"/>
    <hyperlink ref="U42" r:id="rId124" xr:uid="{00000000-0004-0000-0100-00007B000000}"/>
    <hyperlink ref="O43" r:id="rId125" xr:uid="{00000000-0004-0000-0100-00007C000000}"/>
    <hyperlink ref="P43" r:id="rId126" xr:uid="{00000000-0004-0000-0100-00007D000000}"/>
    <hyperlink ref="U43" r:id="rId127" xr:uid="{00000000-0004-0000-0100-00007E000000}"/>
    <hyperlink ref="O44" r:id="rId128" xr:uid="{00000000-0004-0000-0100-00007F000000}"/>
    <hyperlink ref="P44" r:id="rId129" xr:uid="{00000000-0004-0000-0100-000080000000}"/>
    <hyperlink ref="U44" r:id="rId130" xr:uid="{00000000-0004-0000-0100-000081000000}"/>
    <hyperlink ref="O45" r:id="rId131" xr:uid="{00000000-0004-0000-0100-000082000000}"/>
    <hyperlink ref="P45" r:id="rId132" xr:uid="{00000000-0004-0000-0100-000083000000}"/>
    <hyperlink ref="U45" r:id="rId133" xr:uid="{00000000-0004-0000-0100-000084000000}"/>
    <hyperlink ref="O46" r:id="rId134" xr:uid="{00000000-0004-0000-0100-000085000000}"/>
    <hyperlink ref="P46" r:id="rId135" xr:uid="{00000000-0004-0000-0100-000086000000}"/>
    <hyperlink ref="U46" r:id="rId136" xr:uid="{00000000-0004-0000-0100-000087000000}"/>
    <hyperlink ref="O47" r:id="rId137" xr:uid="{00000000-0004-0000-0100-000088000000}"/>
    <hyperlink ref="P47" r:id="rId138" xr:uid="{00000000-0004-0000-0100-000089000000}"/>
    <hyperlink ref="U47" r:id="rId139" xr:uid="{00000000-0004-0000-0100-00008A000000}"/>
    <hyperlink ref="O48" r:id="rId140" xr:uid="{00000000-0004-0000-0100-00008B000000}"/>
    <hyperlink ref="P48" r:id="rId141" xr:uid="{00000000-0004-0000-0100-00008C000000}"/>
    <hyperlink ref="U48" r:id="rId142" xr:uid="{00000000-0004-0000-0100-00008D000000}"/>
    <hyperlink ref="O49" r:id="rId143" xr:uid="{00000000-0004-0000-0100-00008E000000}"/>
    <hyperlink ref="P49" r:id="rId144" xr:uid="{00000000-0004-0000-0100-00008F000000}"/>
    <hyperlink ref="U49" r:id="rId145" xr:uid="{00000000-0004-0000-0100-000090000000}"/>
    <hyperlink ref="O50" r:id="rId146" xr:uid="{00000000-0004-0000-0100-000091000000}"/>
    <hyperlink ref="P50" r:id="rId147" xr:uid="{00000000-0004-0000-0100-000092000000}"/>
    <hyperlink ref="U50" r:id="rId148" xr:uid="{00000000-0004-0000-0100-000093000000}"/>
    <hyperlink ref="O51" r:id="rId149" xr:uid="{00000000-0004-0000-0100-000094000000}"/>
    <hyperlink ref="P51" r:id="rId150" xr:uid="{00000000-0004-0000-0100-000095000000}"/>
    <hyperlink ref="U51" r:id="rId151" xr:uid="{00000000-0004-0000-0100-000096000000}"/>
    <hyperlink ref="O52" r:id="rId152" xr:uid="{00000000-0004-0000-0100-000097000000}"/>
    <hyperlink ref="P52" r:id="rId153" xr:uid="{00000000-0004-0000-0100-000098000000}"/>
    <hyperlink ref="U52" r:id="rId154" xr:uid="{00000000-0004-0000-0100-000099000000}"/>
    <hyperlink ref="O53" r:id="rId155" xr:uid="{00000000-0004-0000-0100-00009A000000}"/>
    <hyperlink ref="P53" r:id="rId156" xr:uid="{00000000-0004-0000-0100-00009B000000}"/>
    <hyperlink ref="U53" r:id="rId157" xr:uid="{00000000-0004-0000-0100-00009C000000}"/>
    <hyperlink ref="O54" r:id="rId158" xr:uid="{00000000-0004-0000-0100-00009D000000}"/>
    <hyperlink ref="P54" r:id="rId159" xr:uid="{00000000-0004-0000-0100-00009E000000}"/>
    <hyperlink ref="U54" r:id="rId160" xr:uid="{00000000-0004-0000-0100-00009F000000}"/>
    <hyperlink ref="O55" r:id="rId161" xr:uid="{00000000-0004-0000-0100-0000A0000000}"/>
    <hyperlink ref="P55" r:id="rId162" xr:uid="{00000000-0004-0000-0100-0000A1000000}"/>
    <hyperlink ref="U55" r:id="rId163" xr:uid="{00000000-0004-0000-0100-0000A2000000}"/>
    <hyperlink ref="O56" r:id="rId164" xr:uid="{00000000-0004-0000-0100-0000A3000000}"/>
    <hyperlink ref="P56" r:id="rId165" xr:uid="{00000000-0004-0000-0100-0000A4000000}"/>
    <hyperlink ref="U56" r:id="rId166" xr:uid="{00000000-0004-0000-0100-0000A5000000}"/>
    <hyperlink ref="O57" r:id="rId167" xr:uid="{00000000-0004-0000-0100-0000A6000000}"/>
    <hyperlink ref="P57" r:id="rId168" xr:uid="{00000000-0004-0000-0100-0000A7000000}"/>
    <hyperlink ref="U57" r:id="rId169" xr:uid="{00000000-0004-0000-0100-0000A8000000}"/>
    <hyperlink ref="O58" r:id="rId170" xr:uid="{00000000-0004-0000-0100-0000A9000000}"/>
    <hyperlink ref="P58" r:id="rId171" xr:uid="{00000000-0004-0000-0100-0000AA000000}"/>
    <hyperlink ref="U58" r:id="rId172" xr:uid="{00000000-0004-0000-0100-0000AB000000}"/>
    <hyperlink ref="O59" r:id="rId173" xr:uid="{00000000-0004-0000-0100-0000AC000000}"/>
    <hyperlink ref="P59" r:id="rId174" xr:uid="{00000000-0004-0000-0100-0000AD000000}"/>
    <hyperlink ref="U59" r:id="rId175" xr:uid="{00000000-0004-0000-0100-0000AE000000}"/>
    <hyperlink ref="O60" r:id="rId176" xr:uid="{00000000-0004-0000-0100-0000AF000000}"/>
    <hyperlink ref="P60" r:id="rId177" xr:uid="{00000000-0004-0000-0100-0000B0000000}"/>
    <hyperlink ref="U60" r:id="rId178" xr:uid="{00000000-0004-0000-0100-0000B1000000}"/>
    <hyperlink ref="O61" r:id="rId179" xr:uid="{00000000-0004-0000-0100-0000B2000000}"/>
    <hyperlink ref="P61" r:id="rId180" xr:uid="{00000000-0004-0000-0100-0000B3000000}"/>
    <hyperlink ref="U61" r:id="rId181" xr:uid="{00000000-0004-0000-0100-0000B4000000}"/>
    <hyperlink ref="O62" r:id="rId182" xr:uid="{00000000-0004-0000-0100-0000B5000000}"/>
    <hyperlink ref="P62" r:id="rId183" xr:uid="{00000000-0004-0000-0100-0000B6000000}"/>
    <hyperlink ref="U62" r:id="rId184" xr:uid="{00000000-0004-0000-0100-0000B7000000}"/>
    <hyperlink ref="O63" r:id="rId185" xr:uid="{00000000-0004-0000-0100-0000B8000000}"/>
    <hyperlink ref="P63" r:id="rId186" xr:uid="{00000000-0004-0000-0100-0000B9000000}"/>
    <hyperlink ref="U63" r:id="rId187" xr:uid="{00000000-0004-0000-0100-0000BA000000}"/>
    <hyperlink ref="O64" r:id="rId188" xr:uid="{00000000-0004-0000-0100-0000BB000000}"/>
    <hyperlink ref="P64" r:id="rId189" xr:uid="{00000000-0004-0000-0100-0000BC000000}"/>
    <hyperlink ref="U64" r:id="rId190" xr:uid="{00000000-0004-0000-0100-0000BD000000}"/>
    <hyperlink ref="O65" r:id="rId191" xr:uid="{00000000-0004-0000-0100-0000BE000000}"/>
    <hyperlink ref="P65" r:id="rId192" xr:uid="{00000000-0004-0000-0100-0000BF000000}"/>
    <hyperlink ref="U65" r:id="rId193" xr:uid="{00000000-0004-0000-0100-0000C0000000}"/>
    <hyperlink ref="O66" r:id="rId194" xr:uid="{00000000-0004-0000-0100-0000C1000000}"/>
    <hyperlink ref="P66" r:id="rId195" xr:uid="{00000000-0004-0000-0100-0000C2000000}"/>
    <hyperlink ref="U66" r:id="rId196" xr:uid="{00000000-0004-0000-0100-0000C3000000}"/>
    <hyperlink ref="O67" r:id="rId197" xr:uid="{00000000-0004-0000-0100-0000C4000000}"/>
    <hyperlink ref="P67" r:id="rId198" xr:uid="{00000000-0004-0000-0100-0000C5000000}"/>
    <hyperlink ref="U67" r:id="rId199" xr:uid="{00000000-0004-0000-0100-0000C6000000}"/>
    <hyperlink ref="O68" r:id="rId200" xr:uid="{00000000-0004-0000-0100-0000C7000000}"/>
    <hyperlink ref="P68" r:id="rId201" xr:uid="{00000000-0004-0000-0100-0000C8000000}"/>
    <hyperlink ref="U68" r:id="rId202" xr:uid="{00000000-0004-0000-0100-0000C9000000}"/>
    <hyperlink ref="O69" r:id="rId203" xr:uid="{00000000-0004-0000-0100-0000CA000000}"/>
    <hyperlink ref="P69" r:id="rId204" xr:uid="{00000000-0004-0000-0100-0000CB000000}"/>
    <hyperlink ref="U69" r:id="rId205" xr:uid="{00000000-0004-0000-0100-0000CC000000}"/>
    <hyperlink ref="O70" r:id="rId206" xr:uid="{00000000-0004-0000-0100-0000CD000000}"/>
    <hyperlink ref="P70" r:id="rId207" xr:uid="{00000000-0004-0000-0100-0000CE000000}"/>
    <hyperlink ref="U70" r:id="rId208" xr:uid="{00000000-0004-0000-0100-0000CF000000}"/>
    <hyperlink ref="O71" r:id="rId209" xr:uid="{00000000-0004-0000-0100-0000D0000000}"/>
    <hyperlink ref="P71" r:id="rId210" xr:uid="{00000000-0004-0000-0100-0000D1000000}"/>
    <hyperlink ref="U71" r:id="rId211" xr:uid="{00000000-0004-0000-0100-0000D2000000}"/>
    <hyperlink ref="O72" r:id="rId212" xr:uid="{00000000-0004-0000-0100-0000D3000000}"/>
    <hyperlink ref="P72" r:id="rId213" xr:uid="{00000000-0004-0000-0100-0000D4000000}"/>
    <hyperlink ref="U72" r:id="rId214" xr:uid="{00000000-0004-0000-0100-0000D5000000}"/>
    <hyperlink ref="O73" r:id="rId215" xr:uid="{00000000-0004-0000-0100-0000D6000000}"/>
    <hyperlink ref="P73" r:id="rId216" xr:uid="{00000000-0004-0000-0100-0000D7000000}"/>
    <hyperlink ref="U73" r:id="rId217" xr:uid="{00000000-0004-0000-0100-0000D8000000}"/>
    <hyperlink ref="O74" r:id="rId218" xr:uid="{00000000-0004-0000-0100-0000D9000000}"/>
    <hyperlink ref="P74" r:id="rId219" xr:uid="{00000000-0004-0000-0100-0000DA000000}"/>
    <hyperlink ref="U74" r:id="rId220" xr:uid="{00000000-0004-0000-0100-0000DB000000}"/>
    <hyperlink ref="O75" r:id="rId221" xr:uid="{00000000-0004-0000-0100-0000DC000000}"/>
    <hyperlink ref="P75" r:id="rId222" xr:uid="{00000000-0004-0000-0100-0000DD000000}"/>
    <hyperlink ref="U75" r:id="rId223" xr:uid="{00000000-0004-0000-0100-0000DE000000}"/>
    <hyperlink ref="O76" r:id="rId224" xr:uid="{00000000-0004-0000-0100-0000DF000000}"/>
    <hyperlink ref="P76" r:id="rId225" xr:uid="{00000000-0004-0000-0100-0000E0000000}"/>
    <hyperlink ref="U76" r:id="rId226" xr:uid="{00000000-0004-0000-0100-0000E1000000}"/>
    <hyperlink ref="O77" r:id="rId227" xr:uid="{00000000-0004-0000-0100-0000E2000000}"/>
    <hyperlink ref="P77" r:id="rId228" xr:uid="{00000000-0004-0000-0100-0000E3000000}"/>
    <hyperlink ref="U77" r:id="rId229" xr:uid="{00000000-0004-0000-0100-0000E4000000}"/>
    <hyperlink ref="O78" r:id="rId230" xr:uid="{00000000-0004-0000-0100-0000E5000000}"/>
    <hyperlink ref="P78" r:id="rId231" xr:uid="{00000000-0004-0000-0100-0000E6000000}"/>
    <hyperlink ref="U78" r:id="rId232" xr:uid="{00000000-0004-0000-0100-0000E7000000}"/>
    <hyperlink ref="O79" r:id="rId233" xr:uid="{00000000-0004-0000-0100-0000E8000000}"/>
    <hyperlink ref="P79" r:id="rId234" xr:uid="{00000000-0004-0000-0100-0000E9000000}"/>
    <hyperlink ref="U79" r:id="rId235" xr:uid="{00000000-0004-0000-0100-0000EA000000}"/>
    <hyperlink ref="O80" r:id="rId236" xr:uid="{00000000-0004-0000-0100-0000EB000000}"/>
    <hyperlink ref="P80" r:id="rId237" xr:uid="{00000000-0004-0000-0100-0000EC000000}"/>
    <hyperlink ref="U80" r:id="rId238" xr:uid="{00000000-0004-0000-0100-0000ED000000}"/>
    <hyperlink ref="O81" r:id="rId239" xr:uid="{00000000-0004-0000-0100-0000EE000000}"/>
    <hyperlink ref="P81" r:id="rId240" xr:uid="{00000000-0004-0000-0100-0000EF000000}"/>
    <hyperlink ref="U81" r:id="rId241" xr:uid="{00000000-0004-0000-0100-0000F0000000}"/>
    <hyperlink ref="O82" r:id="rId242" xr:uid="{00000000-0004-0000-0100-0000F1000000}"/>
    <hyperlink ref="P82" r:id="rId243" xr:uid="{00000000-0004-0000-0100-0000F2000000}"/>
    <hyperlink ref="U82" r:id="rId244" xr:uid="{00000000-0004-0000-0100-0000F3000000}"/>
    <hyperlink ref="O83" r:id="rId245" xr:uid="{00000000-0004-0000-0100-0000F4000000}"/>
    <hyperlink ref="P83" r:id="rId246" xr:uid="{00000000-0004-0000-0100-0000F5000000}"/>
    <hyperlink ref="U83" r:id="rId247" xr:uid="{00000000-0004-0000-0100-0000F6000000}"/>
    <hyperlink ref="O84" r:id="rId248" xr:uid="{00000000-0004-0000-0100-0000F7000000}"/>
    <hyperlink ref="P84" r:id="rId249" xr:uid="{00000000-0004-0000-0100-0000F8000000}"/>
    <hyperlink ref="U84" r:id="rId250" xr:uid="{00000000-0004-0000-0100-0000F9000000}"/>
    <hyperlink ref="O85" r:id="rId251" xr:uid="{00000000-0004-0000-0100-0000FA000000}"/>
    <hyperlink ref="P85" r:id="rId252" xr:uid="{00000000-0004-0000-0100-0000FB000000}"/>
    <hyperlink ref="U85" r:id="rId253" xr:uid="{00000000-0004-0000-0100-0000FC000000}"/>
    <hyperlink ref="O86" r:id="rId254" xr:uid="{00000000-0004-0000-0100-0000FD000000}"/>
    <hyperlink ref="P86" r:id="rId255" xr:uid="{00000000-0004-0000-0100-0000FE000000}"/>
    <hyperlink ref="U86" r:id="rId256" xr:uid="{00000000-0004-0000-0100-0000FF000000}"/>
    <hyperlink ref="O87" r:id="rId257" xr:uid="{00000000-0004-0000-0100-000000010000}"/>
    <hyperlink ref="P87" r:id="rId258" xr:uid="{00000000-0004-0000-0100-000001010000}"/>
    <hyperlink ref="U87" r:id="rId259" xr:uid="{00000000-0004-0000-0100-000002010000}"/>
    <hyperlink ref="O88" r:id="rId260" xr:uid="{00000000-0004-0000-0100-000003010000}"/>
    <hyperlink ref="P88" r:id="rId261" xr:uid="{00000000-0004-0000-0100-000004010000}"/>
    <hyperlink ref="U88" r:id="rId262" xr:uid="{00000000-0004-0000-0100-000005010000}"/>
    <hyperlink ref="O89" r:id="rId263" xr:uid="{00000000-0004-0000-0100-000006010000}"/>
    <hyperlink ref="P89" r:id="rId264" xr:uid="{00000000-0004-0000-0100-000007010000}"/>
    <hyperlink ref="U89" r:id="rId265" xr:uid="{00000000-0004-0000-0100-000008010000}"/>
    <hyperlink ref="O90" r:id="rId266" xr:uid="{00000000-0004-0000-0100-000009010000}"/>
    <hyperlink ref="P90" r:id="rId267" xr:uid="{00000000-0004-0000-0100-00000A010000}"/>
    <hyperlink ref="U90" r:id="rId268" xr:uid="{00000000-0004-0000-0100-00000B010000}"/>
    <hyperlink ref="O91" r:id="rId269" xr:uid="{00000000-0004-0000-0100-00000C010000}"/>
    <hyperlink ref="P91" r:id="rId270" xr:uid="{00000000-0004-0000-0100-00000D010000}"/>
    <hyperlink ref="U91" r:id="rId271" xr:uid="{00000000-0004-0000-0100-00000E010000}"/>
    <hyperlink ref="O92" r:id="rId272" xr:uid="{00000000-0004-0000-0100-00000F010000}"/>
    <hyperlink ref="P92" r:id="rId273" xr:uid="{00000000-0004-0000-0100-000010010000}"/>
    <hyperlink ref="U92" r:id="rId274" xr:uid="{00000000-0004-0000-0100-000011010000}"/>
    <hyperlink ref="O93" r:id="rId275" xr:uid="{00000000-0004-0000-0100-000012010000}"/>
    <hyperlink ref="P93" r:id="rId276" xr:uid="{00000000-0004-0000-0100-000013010000}"/>
    <hyperlink ref="U93" r:id="rId277" xr:uid="{00000000-0004-0000-0100-000014010000}"/>
    <hyperlink ref="O94" r:id="rId278" xr:uid="{00000000-0004-0000-0100-000015010000}"/>
    <hyperlink ref="P94" r:id="rId279" xr:uid="{00000000-0004-0000-0100-000016010000}"/>
    <hyperlink ref="U94" r:id="rId280" xr:uid="{00000000-0004-0000-0100-000017010000}"/>
    <hyperlink ref="O95" r:id="rId281" xr:uid="{00000000-0004-0000-0100-000018010000}"/>
    <hyperlink ref="P95" r:id="rId282" xr:uid="{00000000-0004-0000-0100-000019010000}"/>
    <hyperlink ref="U95" r:id="rId283" xr:uid="{00000000-0004-0000-0100-00001A010000}"/>
    <hyperlink ref="O96" r:id="rId284" xr:uid="{00000000-0004-0000-0100-00001B010000}"/>
    <hyperlink ref="P96" r:id="rId285" xr:uid="{00000000-0004-0000-0100-00001C010000}"/>
    <hyperlink ref="U96" r:id="rId286" xr:uid="{00000000-0004-0000-0100-00001D010000}"/>
    <hyperlink ref="O97" r:id="rId287" xr:uid="{00000000-0004-0000-0100-00001E010000}"/>
    <hyperlink ref="P97" r:id="rId288" xr:uid="{00000000-0004-0000-0100-00001F010000}"/>
    <hyperlink ref="U97" r:id="rId289" xr:uid="{00000000-0004-0000-0100-000020010000}"/>
    <hyperlink ref="O98" r:id="rId290" xr:uid="{00000000-0004-0000-0100-000021010000}"/>
    <hyperlink ref="P98" r:id="rId291" xr:uid="{00000000-0004-0000-0100-000022010000}"/>
    <hyperlink ref="U98" r:id="rId292" xr:uid="{00000000-0004-0000-0100-000023010000}"/>
    <hyperlink ref="O99" r:id="rId293" xr:uid="{00000000-0004-0000-0100-000024010000}"/>
    <hyperlink ref="P99" r:id="rId294" xr:uid="{00000000-0004-0000-0100-000025010000}"/>
    <hyperlink ref="U99" r:id="rId295" xr:uid="{00000000-0004-0000-0100-000026010000}"/>
    <hyperlink ref="O100" r:id="rId296" xr:uid="{00000000-0004-0000-0100-000027010000}"/>
    <hyperlink ref="P100" r:id="rId297" xr:uid="{00000000-0004-0000-0100-000028010000}"/>
    <hyperlink ref="U100" r:id="rId298" xr:uid="{00000000-0004-0000-0100-000029010000}"/>
    <hyperlink ref="O101" r:id="rId299" xr:uid="{00000000-0004-0000-0100-00002A010000}"/>
    <hyperlink ref="P101" r:id="rId300" xr:uid="{00000000-0004-0000-0100-00002B010000}"/>
    <hyperlink ref="U101" r:id="rId301" xr:uid="{00000000-0004-0000-0100-00002C010000}"/>
    <hyperlink ref="O102" r:id="rId302" xr:uid="{00000000-0004-0000-0100-00002D010000}"/>
    <hyperlink ref="P102" r:id="rId303" xr:uid="{00000000-0004-0000-0100-00002E010000}"/>
    <hyperlink ref="U102" r:id="rId304" xr:uid="{00000000-0004-0000-0100-00002F010000}"/>
    <hyperlink ref="O103" r:id="rId305" xr:uid="{00000000-0004-0000-0100-000030010000}"/>
    <hyperlink ref="P103" r:id="rId306" xr:uid="{00000000-0004-0000-0100-000031010000}"/>
    <hyperlink ref="U103" r:id="rId307" xr:uid="{00000000-0004-0000-0100-000032010000}"/>
    <hyperlink ref="O104" r:id="rId308" xr:uid="{00000000-0004-0000-0100-000033010000}"/>
    <hyperlink ref="P104" r:id="rId309" xr:uid="{00000000-0004-0000-0100-000034010000}"/>
    <hyperlink ref="U104" r:id="rId310" xr:uid="{00000000-0004-0000-0100-000035010000}"/>
    <hyperlink ref="O105" r:id="rId311" xr:uid="{00000000-0004-0000-0100-000036010000}"/>
    <hyperlink ref="P105" r:id="rId312" xr:uid="{00000000-0004-0000-0100-000037010000}"/>
    <hyperlink ref="U105" r:id="rId313" xr:uid="{00000000-0004-0000-0100-000038010000}"/>
    <hyperlink ref="O106" r:id="rId314" xr:uid="{00000000-0004-0000-0100-000039010000}"/>
    <hyperlink ref="P106" r:id="rId315" xr:uid="{00000000-0004-0000-0100-00003A010000}"/>
    <hyperlink ref="U106" r:id="rId316" xr:uid="{00000000-0004-0000-0100-00003B010000}"/>
    <hyperlink ref="O107" r:id="rId317" xr:uid="{00000000-0004-0000-0100-00003C010000}"/>
    <hyperlink ref="P107" r:id="rId318" xr:uid="{00000000-0004-0000-0100-00003D010000}"/>
    <hyperlink ref="U107" r:id="rId319" xr:uid="{00000000-0004-0000-0100-00003E010000}"/>
    <hyperlink ref="O108" r:id="rId320" xr:uid="{00000000-0004-0000-0100-00003F010000}"/>
    <hyperlink ref="P108" r:id="rId321" xr:uid="{00000000-0004-0000-0100-000040010000}"/>
    <hyperlink ref="U108" r:id="rId322" xr:uid="{00000000-0004-0000-0100-000041010000}"/>
    <hyperlink ref="O109" r:id="rId323" xr:uid="{00000000-0004-0000-0100-000042010000}"/>
    <hyperlink ref="P109" r:id="rId324" xr:uid="{00000000-0004-0000-0100-000043010000}"/>
    <hyperlink ref="U109" r:id="rId325" xr:uid="{00000000-0004-0000-0100-000044010000}"/>
    <hyperlink ref="O110" r:id="rId326" xr:uid="{00000000-0004-0000-0100-000045010000}"/>
    <hyperlink ref="P110" r:id="rId327" xr:uid="{00000000-0004-0000-0100-000046010000}"/>
    <hyperlink ref="U110" r:id="rId328" xr:uid="{00000000-0004-0000-0100-000047010000}"/>
    <hyperlink ref="O111" r:id="rId329" xr:uid="{00000000-0004-0000-0100-000048010000}"/>
    <hyperlink ref="P111" r:id="rId330" xr:uid="{00000000-0004-0000-0100-000049010000}"/>
    <hyperlink ref="U111" r:id="rId331" xr:uid="{00000000-0004-0000-0100-00004A010000}"/>
    <hyperlink ref="O112" r:id="rId332" xr:uid="{00000000-0004-0000-0100-00004B010000}"/>
    <hyperlink ref="P112" r:id="rId333" xr:uid="{00000000-0004-0000-0100-00004C010000}"/>
    <hyperlink ref="U112" r:id="rId334" xr:uid="{00000000-0004-0000-0100-00004D010000}"/>
    <hyperlink ref="O113" r:id="rId335" xr:uid="{00000000-0004-0000-0100-00004E010000}"/>
    <hyperlink ref="P113" r:id="rId336" xr:uid="{00000000-0004-0000-0100-00004F010000}"/>
    <hyperlink ref="U113" r:id="rId337" xr:uid="{00000000-0004-0000-0100-000050010000}"/>
    <hyperlink ref="O114" r:id="rId338" xr:uid="{00000000-0004-0000-0100-000051010000}"/>
    <hyperlink ref="P114" r:id="rId339" xr:uid="{00000000-0004-0000-0100-000052010000}"/>
    <hyperlink ref="U114" r:id="rId340" xr:uid="{00000000-0004-0000-0100-000053010000}"/>
    <hyperlink ref="O115" r:id="rId341" xr:uid="{00000000-0004-0000-0100-000054010000}"/>
    <hyperlink ref="P115" r:id="rId342" xr:uid="{00000000-0004-0000-0100-000055010000}"/>
    <hyperlink ref="U115" r:id="rId343" xr:uid="{00000000-0004-0000-0100-000056010000}"/>
    <hyperlink ref="O116" r:id="rId344" xr:uid="{00000000-0004-0000-0100-000057010000}"/>
    <hyperlink ref="P116" r:id="rId345" xr:uid="{00000000-0004-0000-0100-000058010000}"/>
    <hyperlink ref="U116" r:id="rId346" xr:uid="{00000000-0004-0000-0100-000059010000}"/>
    <hyperlink ref="O117" r:id="rId347" xr:uid="{00000000-0004-0000-0100-00005A010000}"/>
    <hyperlink ref="P117" r:id="rId348" xr:uid="{00000000-0004-0000-0100-00005B010000}"/>
    <hyperlink ref="U117" r:id="rId349" xr:uid="{00000000-0004-0000-0100-00005C010000}"/>
    <hyperlink ref="O118" r:id="rId350" xr:uid="{00000000-0004-0000-0100-00005D010000}"/>
    <hyperlink ref="P118" r:id="rId351" xr:uid="{00000000-0004-0000-0100-00005E010000}"/>
    <hyperlink ref="U118" r:id="rId352" xr:uid="{00000000-0004-0000-0100-00005F010000}"/>
    <hyperlink ref="O119" r:id="rId353" xr:uid="{00000000-0004-0000-0100-000060010000}"/>
    <hyperlink ref="P119" r:id="rId354" xr:uid="{00000000-0004-0000-0100-000061010000}"/>
    <hyperlink ref="U119" r:id="rId355" xr:uid="{00000000-0004-0000-0100-000062010000}"/>
    <hyperlink ref="O120" r:id="rId356" xr:uid="{00000000-0004-0000-0100-000063010000}"/>
    <hyperlink ref="P120" r:id="rId357" xr:uid="{00000000-0004-0000-0100-000064010000}"/>
    <hyperlink ref="U120" r:id="rId358" xr:uid="{00000000-0004-0000-0100-000065010000}"/>
    <hyperlink ref="O121" r:id="rId359" xr:uid="{00000000-0004-0000-0100-000066010000}"/>
    <hyperlink ref="P121" r:id="rId360" xr:uid="{00000000-0004-0000-0100-000067010000}"/>
    <hyperlink ref="U121" r:id="rId361" xr:uid="{00000000-0004-0000-0100-000068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39"/>
  <sheetViews>
    <sheetView topLeftCell="A2" workbookViewId="0">
      <selection activeCell="A28" sqref="A28:XFD28"/>
    </sheetView>
  </sheetViews>
  <sheetFormatPr baseColWidth="10" defaultColWidth="14.5" defaultRowHeight="15" customHeight="1" x14ac:dyDescent="0.2"/>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1" t="s">
        <v>1983</v>
      </c>
      <c r="U1" s="1" t="s">
        <v>20</v>
      </c>
      <c r="V1" s="2" t="s">
        <v>21</v>
      </c>
      <c r="W1" s="2" t="s">
        <v>22</v>
      </c>
      <c r="X1" s="2" t="s">
        <v>23</v>
      </c>
      <c r="Y1" s="2" t="s">
        <v>24</v>
      </c>
      <c r="Z1" s="2" t="s">
        <v>25</v>
      </c>
      <c r="AA1" s="2" t="s">
        <v>26</v>
      </c>
      <c r="AB1" s="2" t="s">
        <v>27</v>
      </c>
      <c r="AC1" s="1" t="s">
        <v>28</v>
      </c>
      <c r="AD1" s="2" t="s">
        <v>29</v>
      </c>
      <c r="AE1" s="2" t="s">
        <v>30</v>
      </c>
      <c r="AF1" s="2" t="s">
        <v>31</v>
      </c>
    </row>
    <row r="2" spans="1:32" x14ac:dyDescent="0.2">
      <c r="A2" s="22"/>
      <c r="B2" s="22"/>
      <c r="C2" s="22" t="s">
        <v>1984</v>
      </c>
      <c r="D2" s="23"/>
      <c r="E2" s="23"/>
      <c r="F2" s="23"/>
      <c r="G2" s="23"/>
      <c r="H2" s="23"/>
      <c r="I2" s="23"/>
      <c r="J2" s="23"/>
      <c r="K2" s="23"/>
      <c r="L2" s="23"/>
      <c r="M2" s="23"/>
      <c r="N2" s="23"/>
      <c r="O2" s="24"/>
      <c r="P2" s="24"/>
      <c r="Q2" s="23"/>
      <c r="R2" s="25"/>
      <c r="S2" s="23"/>
      <c r="T2" s="25"/>
      <c r="U2" s="24"/>
      <c r="V2" s="23"/>
      <c r="W2" s="23"/>
      <c r="X2" s="23"/>
      <c r="Y2" s="23"/>
      <c r="Z2" s="23"/>
      <c r="AA2" s="23"/>
      <c r="AB2" s="23"/>
      <c r="AC2" s="23"/>
      <c r="AD2" s="23"/>
      <c r="AE2" s="23"/>
      <c r="AF2" s="23"/>
    </row>
    <row r="3" spans="1:32" x14ac:dyDescent="0.2">
      <c r="A3" s="26" t="s">
        <v>519</v>
      </c>
      <c r="B3" s="26" t="s">
        <v>239</v>
      </c>
      <c r="C3" s="26" t="s">
        <v>520</v>
      </c>
      <c r="D3" s="26" t="s">
        <v>521</v>
      </c>
      <c r="E3" s="26" t="s">
        <v>522</v>
      </c>
      <c r="F3" s="26" t="s">
        <v>523</v>
      </c>
      <c r="G3" s="26" t="s">
        <v>524</v>
      </c>
      <c r="H3" s="26" t="s">
        <v>39</v>
      </c>
      <c r="I3" s="26" t="s">
        <v>525</v>
      </c>
      <c r="J3" s="26" t="s">
        <v>378</v>
      </c>
      <c r="K3" s="26" t="s">
        <v>526</v>
      </c>
      <c r="L3" s="26" t="s">
        <v>527</v>
      </c>
      <c r="M3" s="26" t="s">
        <v>528</v>
      </c>
      <c r="N3" s="26" t="s">
        <v>529</v>
      </c>
      <c r="O3" s="27" t="s">
        <v>530</v>
      </c>
      <c r="P3" s="27" t="s">
        <v>531</v>
      </c>
      <c r="Q3" s="26" t="s">
        <v>48</v>
      </c>
      <c r="R3" s="28"/>
      <c r="S3" s="26" t="s">
        <v>49</v>
      </c>
      <c r="T3" s="28"/>
      <c r="U3" s="27" t="s">
        <v>532</v>
      </c>
      <c r="V3" s="26" t="s">
        <v>533</v>
      </c>
      <c r="W3" s="26" t="s">
        <v>534</v>
      </c>
      <c r="X3" s="26">
        <v>25</v>
      </c>
      <c r="Y3" s="26">
        <v>3</v>
      </c>
      <c r="Z3" s="26">
        <v>6</v>
      </c>
      <c r="AA3" s="26">
        <v>3</v>
      </c>
      <c r="AB3" s="26">
        <v>4</v>
      </c>
      <c r="AC3" s="26">
        <f t="shared" ref="AC3:AC22" si="0">IF(B3="Ghana",0,5)</f>
        <v>5</v>
      </c>
      <c r="AD3" s="26">
        <f t="shared" ref="AD3:AD22" si="1">IF(H3="Female",5,0)</f>
        <v>0</v>
      </c>
      <c r="AE3" s="26">
        <f t="shared" ref="AE3:AE22" si="2">SUM(X3:AD3)</f>
        <v>46</v>
      </c>
      <c r="AF3" s="26" t="s">
        <v>535</v>
      </c>
    </row>
    <row r="4" spans="1:32" x14ac:dyDescent="0.2">
      <c r="A4" s="26" t="s">
        <v>1206</v>
      </c>
      <c r="B4" s="26" t="s">
        <v>188</v>
      </c>
      <c r="C4" s="26" t="s">
        <v>1207</v>
      </c>
      <c r="D4" s="26" t="s">
        <v>1208</v>
      </c>
      <c r="E4" s="26" t="s">
        <v>1209</v>
      </c>
      <c r="F4" s="26" t="s">
        <v>1210</v>
      </c>
      <c r="G4" s="26" t="s">
        <v>1211</v>
      </c>
      <c r="H4" s="26" t="s">
        <v>39</v>
      </c>
      <c r="I4" s="26" t="s">
        <v>1212</v>
      </c>
      <c r="J4" s="26" t="s">
        <v>1213</v>
      </c>
      <c r="K4" s="26" t="s">
        <v>1214</v>
      </c>
      <c r="L4" s="26" t="s">
        <v>1215</v>
      </c>
      <c r="M4" s="26" t="s">
        <v>1216</v>
      </c>
      <c r="N4" s="26" t="s">
        <v>1217</v>
      </c>
      <c r="O4" s="27" t="s">
        <v>1218</v>
      </c>
      <c r="P4" s="27" t="s">
        <v>1219</v>
      </c>
      <c r="Q4" s="26" t="s">
        <v>48</v>
      </c>
      <c r="R4" s="26" t="s">
        <v>1220</v>
      </c>
      <c r="S4" s="26" t="s">
        <v>49</v>
      </c>
      <c r="T4" s="26" t="s">
        <v>1221</v>
      </c>
      <c r="U4" s="27" t="s">
        <v>1222</v>
      </c>
      <c r="V4" s="26" t="s">
        <v>1223</v>
      </c>
      <c r="W4" s="26" t="s">
        <v>1224</v>
      </c>
      <c r="X4" s="26">
        <v>25</v>
      </c>
      <c r="Y4" s="26">
        <v>2</v>
      </c>
      <c r="Z4" s="26">
        <v>7</v>
      </c>
      <c r="AA4" s="26">
        <v>3</v>
      </c>
      <c r="AB4" s="26">
        <v>4</v>
      </c>
      <c r="AC4" s="26">
        <f t="shared" si="0"/>
        <v>5</v>
      </c>
      <c r="AD4" s="26">
        <f t="shared" si="1"/>
        <v>0</v>
      </c>
      <c r="AE4" s="26">
        <f t="shared" si="2"/>
        <v>46</v>
      </c>
      <c r="AF4" s="26" t="s">
        <v>535</v>
      </c>
    </row>
    <row r="5" spans="1:32" x14ac:dyDescent="0.2">
      <c r="A5" s="26" t="s">
        <v>1611</v>
      </c>
      <c r="B5" s="26" t="s">
        <v>1985</v>
      </c>
      <c r="C5" s="26" t="s">
        <v>1612</v>
      </c>
      <c r="D5" s="26" t="s">
        <v>1613</v>
      </c>
      <c r="E5" s="28"/>
      <c r="F5" s="26" t="s">
        <v>1614</v>
      </c>
      <c r="G5" s="26" t="s">
        <v>1615</v>
      </c>
      <c r="H5" s="26" t="s">
        <v>39</v>
      </c>
      <c r="I5" s="26" t="s">
        <v>1616</v>
      </c>
      <c r="J5" s="26" t="s">
        <v>1617</v>
      </c>
      <c r="K5" s="26" t="s">
        <v>1618</v>
      </c>
      <c r="L5" s="26" t="s">
        <v>1619</v>
      </c>
      <c r="M5" s="26" t="s">
        <v>1620</v>
      </c>
      <c r="N5" s="26" t="s">
        <v>1621</v>
      </c>
      <c r="O5" s="27" t="s">
        <v>1622</v>
      </c>
      <c r="P5" s="27" t="s">
        <v>1623</v>
      </c>
      <c r="Q5" s="26" t="s">
        <v>49</v>
      </c>
      <c r="R5" s="28"/>
      <c r="S5" s="26" t="s">
        <v>48</v>
      </c>
      <c r="T5" s="28"/>
      <c r="U5" s="27" t="s">
        <v>1624</v>
      </c>
      <c r="V5" s="26" t="s">
        <v>1625</v>
      </c>
      <c r="W5" s="26" t="s">
        <v>1625</v>
      </c>
      <c r="X5" s="26">
        <v>25</v>
      </c>
      <c r="Y5" s="26">
        <v>0</v>
      </c>
      <c r="Z5" s="26">
        <v>5</v>
      </c>
      <c r="AA5" s="26">
        <v>4</v>
      </c>
      <c r="AB5" s="26">
        <v>4</v>
      </c>
      <c r="AC5" s="26">
        <f t="shared" si="0"/>
        <v>5</v>
      </c>
      <c r="AD5" s="26">
        <f t="shared" si="1"/>
        <v>0</v>
      </c>
      <c r="AE5" s="26">
        <f t="shared" si="2"/>
        <v>43</v>
      </c>
      <c r="AF5" s="26" t="s">
        <v>535</v>
      </c>
    </row>
    <row r="6" spans="1:32" x14ac:dyDescent="0.2">
      <c r="A6" s="26" t="s">
        <v>1113</v>
      </c>
      <c r="B6" s="26" t="s">
        <v>55</v>
      </c>
      <c r="C6" s="26" t="s">
        <v>1114</v>
      </c>
      <c r="D6" s="26" t="s">
        <v>1115</v>
      </c>
      <c r="E6" s="26" t="s">
        <v>1116</v>
      </c>
      <c r="F6" s="26" t="s">
        <v>1117</v>
      </c>
      <c r="G6" s="26" t="s">
        <v>1118</v>
      </c>
      <c r="H6" s="26" t="s">
        <v>39</v>
      </c>
      <c r="I6" s="26" t="s">
        <v>377</v>
      </c>
      <c r="J6" s="26" t="s">
        <v>1119</v>
      </c>
      <c r="K6" s="26" t="s">
        <v>1120</v>
      </c>
      <c r="L6" s="26" t="s">
        <v>1121</v>
      </c>
      <c r="M6" s="26" t="s">
        <v>1122</v>
      </c>
      <c r="N6" s="26" t="s">
        <v>1123</v>
      </c>
      <c r="O6" s="27" t="s">
        <v>1124</v>
      </c>
      <c r="P6" s="27" t="s">
        <v>1125</v>
      </c>
      <c r="Q6" s="26" t="s">
        <v>48</v>
      </c>
      <c r="R6" s="28"/>
      <c r="S6" s="26" t="s">
        <v>49</v>
      </c>
      <c r="T6" s="28"/>
      <c r="U6" s="27" t="s">
        <v>1126</v>
      </c>
      <c r="V6" s="26" t="s">
        <v>1127</v>
      </c>
      <c r="W6" s="28"/>
      <c r="X6" s="26">
        <v>25</v>
      </c>
      <c r="Y6" s="28"/>
      <c r="Z6" s="28"/>
      <c r="AA6" s="28"/>
      <c r="AB6" s="28"/>
      <c r="AC6" s="26">
        <f t="shared" si="0"/>
        <v>0</v>
      </c>
      <c r="AD6" s="26">
        <f t="shared" si="1"/>
        <v>0</v>
      </c>
      <c r="AE6" s="26">
        <f t="shared" si="2"/>
        <v>25</v>
      </c>
      <c r="AF6" s="28"/>
    </row>
    <row r="7" spans="1:32" x14ac:dyDescent="0.2">
      <c r="A7" s="26" t="s">
        <v>203</v>
      </c>
      <c r="B7" s="26" t="s">
        <v>204</v>
      </c>
      <c r="C7" s="26" t="s">
        <v>205</v>
      </c>
      <c r="D7" s="26" t="s">
        <v>206</v>
      </c>
      <c r="E7" s="26" t="s">
        <v>207</v>
      </c>
      <c r="F7" s="26" t="s">
        <v>208</v>
      </c>
      <c r="G7" s="26" t="s">
        <v>209</v>
      </c>
      <c r="H7" s="26" t="s">
        <v>39</v>
      </c>
      <c r="I7" s="26" t="s">
        <v>210</v>
      </c>
      <c r="J7" s="26" t="s">
        <v>211</v>
      </c>
      <c r="K7" s="26" t="s">
        <v>212</v>
      </c>
      <c r="L7" s="26" t="s">
        <v>213</v>
      </c>
      <c r="M7" s="26" t="s">
        <v>214</v>
      </c>
      <c r="N7" s="26" t="s">
        <v>215</v>
      </c>
      <c r="O7" s="27" t="s">
        <v>216</v>
      </c>
      <c r="P7" s="27" t="s">
        <v>217</v>
      </c>
      <c r="Q7" s="26" t="s">
        <v>48</v>
      </c>
      <c r="R7" s="26" t="s">
        <v>48</v>
      </c>
      <c r="S7" s="26" t="s">
        <v>48</v>
      </c>
      <c r="T7" s="26" t="s">
        <v>48</v>
      </c>
      <c r="U7" s="27" t="s">
        <v>218</v>
      </c>
      <c r="V7" s="26" t="s">
        <v>219</v>
      </c>
      <c r="W7" s="26" t="s">
        <v>220</v>
      </c>
      <c r="X7" s="26">
        <v>20</v>
      </c>
      <c r="Y7" s="26">
        <v>2</v>
      </c>
      <c r="Z7" s="26">
        <v>7</v>
      </c>
      <c r="AA7" s="26">
        <v>4</v>
      </c>
      <c r="AB7" s="26">
        <v>6</v>
      </c>
      <c r="AC7" s="26">
        <f t="shared" si="0"/>
        <v>5</v>
      </c>
      <c r="AD7" s="26">
        <f t="shared" si="1"/>
        <v>0</v>
      </c>
      <c r="AE7" s="26">
        <f t="shared" si="2"/>
        <v>44</v>
      </c>
      <c r="AF7" s="26" t="s">
        <v>221</v>
      </c>
    </row>
    <row r="8" spans="1:32" x14ac:dyDescent="0.2">
      <c r="A8" s="26" t="s">
        <v>876</v>
      </c>
      <c r="B8" s="26" t="s">
        <v>1986</v>
      </c>
      <c r="C8" s="26" t="s">
        <v>877</v>
      </c>
      <c r="D8" s="26" t="s">
        <v>878</v>
      </c>
      <c r="E8" s="26" t="s">
        <v>879</v>
      </c>
      <c r="F8" s="26" t="s">
        <v>880</v>
      </c>
      <c r="G8" s="26" t="s">
        <v>881</v>
      </c>
      <c r="H8" s="26" t="s">
        <v>39</v>
      </c>
      <c r="I8" s="26" t="s">
        <v>754</v>
      </c>
      <c r="J8" s="26" t="s">
        <v>882</v>
      </c>
      <c r="K8" s="26" t="s">
        <v>883</v>
      </c>
      <c r="L8" s="26" t="s">
        <v>884</v>
      </c>
      <c r="M8" s="26" t="s">
        <v>885</v>
      </c>
      <c r="N8" s="26" t="s">
        <v>886</v>
      </c>
      <c r="O8" s="27" t="s">
        <v>887</v>
      </c>
      <c r="P8" s="27" t="s">
        <v>888</v>
      </c>
      <c r="Q8" s="26" t="s">
        <v>48</v>
      </c>
      <c r="R8" s="28"/>
      <c r="S8" s="26" t="s">
        <v>48</v>
      </c>
      <c r="T8" s="28"/>
      <c r="U8" s="27" t="s">
        <v>889</v>
      </c>
      <c r="V8" s="26" t="s">
        <v>890</v>
      </c>
      <c r="W8" s="26" t="s">
        <v>890</v>
      </c>
      <c r="X8" s="26">
        <v>20</v>
      </c>
      <c r="Y8" s="26">
        <v>1</v>
      </c>
      <c r="Z8" s="26">
        <v>7</v>
      </c>
      <c r="AA8" s="26">
        <v>3</v>
      </c>
      <c r="AB8" s="26">
        <v>2</v>
      </c>
      <c r="AC8" s="26">
        <f t="shared" si="0"/>
        <v>5</v>
      </c>
      <c r="AD8" s="26">
        <f t="shared" si="1"/>
        <v>0</v>
      </c>
      <c r="AE8" s="26">
        <f t="shared" si="2"/>
        <v>38</v>
      </c>
      <c r="AF8" s="26" t="s">
        <v>535</v>
      </c>
    </row>
    <row r="9" spans="1:32" x14ac:dyDescent="0.2">
      <c r="A9" s="26" t="s">
        <v>1355</v>
      </c>
      <c r="B9" s="26" t="s">
        <v>1987</v>
      </c>
      <c r="C9" s="26" t="s">
        <v>1356</v>
      </c>
      <c r="D9" s="26" t="s">
        <v>1357</v>
      </c>
      <c r="E9" s="26" t="s">
        <v>1358</v>
      </c>
      <c r="F9" s="26" t="s">
        <v>1359</v>
      </c>
      <c r="G9" s="26" t="s">
        <v>1360</v>
      </c>
      <c r="H9" s="26" t="s">
        <v>94</v>
      </c>
      <c r="I9" s="26" t="s">
        <v>1361</v>
      </c>
      <c r="J9" s="26" t="s">
        <v>1362</v>
      </c>
      <c r="K9" s="26" t="s">
        <v>1363</v>
      </c>
      <c r="L9" s="26" t="s">
        <v>1364</v>
      </c>
      <c r="M9" s="26" t="s">
        <v>1365</v>
      </c>
      <c r="N9" s="26" t="s">
        <v>1366</v>
      </c>
      <c r="O9" s="27" t="s">
        <v>1367</v>
      </c>
      <c r="P9" s="27" t="s">
        <v>1368</v>
      </c>
      <c r="Q9" s="26" t="s">
        <v>48</v>
      </c>
      <c r="R9" s="28"/>
      <c r="S9" s="26" t="s">
        <v>49</v>
      </c>
      <c r="T9" s="28"/>
      <c r="U9" s="27" t="s">
        <v>1369</v>
      </c>
      <c r="V9" s="26" t="s">
        <v>1370</v>
      </c>
      <c r="W9" s="26" t="s">
        <v>1370</v>
      </c>
      <c r="X9" s="26">
        <v>20</v>
      </c>
      <c r="Y9" s="26">
        <v>1</v>
      </c>
      <c r="Z9" s="26">
        <v>5</v>
      </c>
      <c r="AA9" s="26">
        <v>3</v>
      </c>
      <c r="AB9" s="26">
        <v>4</v>
      </c>
      <c r="AC9" s="26">
        <f t="shared" si="0"/>
        <v>5</v>
      </c>
      <c r="AD9" s="26">
        <f t="shared" si="1"/>
        <v>5</v>
      </c>
      <c r="AE9" s="26">
        <f t="shared" si="2"/>
        <v>43</v>
      </c>
      <c r="AF9" s="26" t="s">
        <v>535</v>
      </c>
    </row>
    <row r="10" spans="1:32" x14ac:dyDescent="0.2">
      <c r="A10" s="26" t="s">
        <v>1484</v>
      </c>
      <c r="B10" s="26" t="s">
        <v>55</v>
      </c>
      <c r="C10" s="26" t="s">
        <v>1485</v>
      </c>
      <c r="D10" s="26" t="s">
        <v>1486</v>
      </c>
      <c r="E10" s="28"/>
      <c r="F10" s="26" t="s">
        <v>1487</v>
      </c>
      <c r="G10" s="26" t="s">
        <v>1488</v>
      </c>
      <c r="H10" s="26" t="s">
        <v>39</v>
      </c>
      <c r="I10" s="26" t="s">
        <v>1489</v>
      </c>
      <c r="J10" s="26" t="s">
        <v>1490</v>
      </c>
      <c r="K10" s="26" t="s">
        <v>1491</v>
      </c>
      <c r="L10" s="26" t="s">
        <v>1492</v>
      </c>
      <c r="M10" s="26" t="s">
        <v>1493</v>
      </c>
      <c r="N10" s="26" t="s">
        <v>1494</v>
      </c>
      <c r="O10" s="27" t="s">
        <v>1495</v>
      </c>
      <c r="P10" s="27" t="s">
        <v>1496</v>
      </c>
      <c r="Q10" s="26" t="s">
        <v>48</v>
      </c>
      <c r="R10" s="28"/>
      <c r="S10" s="26" t="s">
        <v>49</v>
      </c>
      <c r="T10" s="28"/>
      <c r="U10" s="27" t="s">
        <v>1497</v>
      </c>
      <c r="V10" s="26" t="s">
        <v>1498</v>
      </c>
      <c r="W10" s="26" t="s">
        <v>1499</v>
      </c>
      <c r="X10" s="26">
        <v>20</v>
      </c>
      <c r="Y10" s="26">
        <v>1</v>
      </c>
      <c r="Z10" s="26">
        <v>6</v>
      </c>
      <c r="AA10" s="26">
        <v>4</v>
      </c>
      <c r="AB10" s="26">
        <v>4</v>
      </c>
      <c r="AC10" s="26">
        <f t="shared" si="0"/>
        <v>0</v>
      </c>
      <c r="AD10" s="26">
        <f t="shared" si="1"/>
        <v>0</v>
      </c>
      <c r="AE10" s="26">
        <f t="shared" si="2"/>
        <v>35</v>
      </c>
      <c r="AF10" s="26" t="s">
        <v>535</v>
      </c>
    </row>
    <row r="11" spans="1:32" x14ac:dyDescent="0.2">
      <c r="A11" s="26" t="s">
        <v>1097</v>
      </c>
      <c r="B11" s="26" t="s">
        <v>55</v>
      </c>
      <c r="C11" s="26" t="s">
        <v>1098</v>
      </c>
      <c r="D11" s="26" t="s">
        <v>1099</v>
      </c>
      <c r="E11" s="26" t="s">
        <v>1100</v>
      </c>
      <c r="F11" s="26" t="s">
        <v>1101</v>
      </c>
      <c r="G11" s="26" t="s">
        <v>1102</v>
      </c>
      <c r="H11" s="26" t="s">
        <v>39</v>
      </c>
      <c r="I11" s="26" t="s">
        <v>1103</v>
      </c>
      <c r="J11" s="26" t="s">
        <v>1104</v>
      </c>
      <c r="K11" s="26" t="s">
        <v>1105</v>
      </c>
      <c r="L11" s="26" t="s">
        <v>1106</v>
      </c>
      <c r="M11" s="26" t="s">
        <v>1107</v>
      </c>
      <c r="N11" s="26" t="s">
        <v>1108</v>
      </c>
      <c r="O11" s="27" t="s">
        <v>1109</v>
      </c>
      <c r="P11" s="27" t="s">
        <v>1110</v>
      </c>
      <c r="Q11" s="26" t="s">
        <v>48</v>
      </c>
      <c r="R11" s="28"/>
      <c r="S11" s="26" t="s">
        <v>48</v>
      </c>
      <c r="T11" s="28"/>
      <c r="U11" s="27" t="s">
        <v>1111</v>
      </c>
      <c r="V11" s="26" t="s">
        <v>1112</v>
      </c>
      <c r="W11" s="26" t="s">
        <v>1112</v>
      </c>
      <c r="X11" s="26">
        <v>20</v>
      </c>
      <c r="Y11" s="26">
        <v>0</v>
      </c>
      <c r="Z11" s="26">
        <v>5</v>
      </c>
      <c r="AA11" s="26">
        <v>2</v>
      </c>
      <c r="AB11" s="26">
        <v>6</v>
      </c>
      <c r="AC11" s="26">
        <f t="shared" si="0"/>
        <v>0</v>
      </c>
      <c r="AD11" s="26">
        <f t="shared" si="1"/>
        <v>0</v>
      </c>
      <c r="AE11" s="26">
        <f t="shared" si="2"/>
        <v>33</v>
      </c>
      <c r="AF11" s="26" t="s">
        <v>1064</v>
      </c>
    </row>
    <row r="12" spans="1:32" x14ac:dyDescent="0.2">
      <c r="A12" s="26" t="s">
        <v>812</v>
      </c>
      <c r="B12" s="26" t="s">
        <v>55</v>
      </c>
      <c r="C12" s="26" t="s">
        <v>813</v>
      </c>
      <c r="D12" s="26" t="s">
        <v>814</v>
      </c>
      <c r="E12" s="26" t="s">
        <v>815</v>
      </c>
      <c r="F12" s="26" t="s">
        <v>816</v>
      </c>
      <c r="G12" s="26" t="s">
        <v>817</v>
      </c>
      <c r="H12" s="26" t="s">
        <v>94</v>
      </c>
      <c r="I12" s="26" t="s">
        <v>818</v>
      </c>
      <c r="J12" s="26" t="s">
        <v>819</v>
      </c>
      <c r="K12" s="26" t="s">
        <v>820</v>
      </c>
      <c r="L12" s="26" t="s">
        <v>821</v>
      </c>
      <c r="M12" s="26" t="s">
        <v>822</v>
      </c>
      <c r="N12" s="26" t="s">
        <v>823</v>
      </c>
      <c r="O12" s="27" t="s">
        <v>824</v>
      </c>
      <c r="P12" s="27" t="s">
        <v>825</v>
      </c>
      <c r="Q12" s="26" t="s">
        <v>48</v>
      </c>
      <c r="R12" s="28"/>
      <c r="S12" s="26" t="s">
        <v>48</v>
      </c>
      <c r="T12" s="28"/>
      <c r="U12" s="27" t="s">
        <v>826</v>
      </c>
      <c r="V12" s="26" t="s">
        <v>827</v>
      </c>
      <c r="W12" s="28"/>
      <c r="X12" s="26">
        <v>20</v>
      </c>
      <c r="Y12" s="28"/>
      <c r="Z12" s="28"/>
      <c r="AA12" s="28"/>
      <c r="AB12" s="28"/>
      <c r="AC12" s="26">
        <f t="shared" si="0"/>
        <v>0</v>
      </c>
      <c r="AD12" s="26">
        <f t="shared" si="1"/>
        <v>5</v>
      </c>
      <c r="AE12" s="26">
        <f t="shared" si="2"/>
        <v>25</v>
      </c>
      <c r="AF12" s="28"/>
    </row>
    <row r="13" spans="1:32" x14ac:dyDescent="0.2">
      <c r="A13" s="26" t="s">
        <v>917</v>
      </c>
      <c r="B13" s="26" t="s">
        <v>239</v>
      </c>
      <c r="C13" s="26" t="s">
        <v>918</v>
      </c>
      <c r="D13" s="26" t="s">
        <v>919</v>
      </c>
      <c r="E13" s="26" t="s">
        <v>920</v>
      </c>
      <c r="F13" s="26" t="s">
        <v>921</v>
      </c>
      <c r="G13" s="26" t="s">
        <v>922</v>
      </c>
      <c r="H13" s="26" t="s">
        <v>39</v>
      </c>
      <c r="I13" s="26" t="s">
        <v>923</v>
      </c>
      <c r="J13" s="26" t="s">
        <v>924</v>
      </c>
      <c r="K13" s="26" t="s">
        <v>925</v>
      </c>
      <c r="L13" s="26" t="s">
        <v>926</v>
      </c>
      <c r="M13" s="26" t="s">
        <v>927</v>
      </c>
      <c r="N13" s="26" t="s">
        <v>928</v>
      </c>
      <c r="O13" s="27" t="s">
        <v>929</v>
      </c>
      <c r="P13" s="27" t="s">
        <v>930</v>
      </c>
      <c r="Q13" s="26" t="s">
        <v>48</v>
      </c>
      <c r="R13" s="28"/>
      <c r="S13" s="26" t="s">
        <v>48</v>
      </c>
      <c r="T13" s="26" t="s">
        <v>931</v>
      </c>
      <c r="U13" s="27" t="s">
        <v>932</v>
      </c>
      <c r="V13" s="26" t="s">
        <v>933</v>
      </c>
      <c r="W13" s="28"/>
      <c r="X13" s="26">
        <v>20</v>
      </c>
      <c r="Y13" s="28"/>
      <c r="Z13" s="28"/>
      <c r="AA13" s="28"/>
      <c r="AB13" s="28"/>
      <c r="AC13" s="26">
        <f t="shared" si="0"/>
        <v>5</v>
      </c>
      <c r="AD13" s="26">
        <f t="shared" si="1"/>
        <v>0</v>
      </c>
      <c r="AE13" s="26">
        <f t="shared" si="2"/>
        <v>25</v>
      </c>
      <c r="AF13" s="28"/>
    </row>
    <row r="14" spans="1:32" x14ac:dyDescent="0.2">
      <c r="A14" s="26" t="s">
        <v>536</v>
      </c>
      <c r="B14" s="26" t="s">
        <v>1988</v>
      </c>
      <c r="C14" s="26" t="s">
        <v>537</v>
      </c>
      <c r="D14" s="26" t="s">
        <v>538</v>
      </c>
      <c r="E14" s="26" t="s">
        <v>539</v>
      </c>
      <c r="F14" s="26" t="s">
        <v>540</v>
      </c>
      <c r="G14" s="26" t="s">
        <v>541</v>
      </c>
      <c r="H14" s="26" t="s">
        <v>94</v>
      </c>
      <c r="I14" s="26" t="s">
        <v>542</v>
      </c>
      <c r="J14" s="26" t="s">
        <v>543</v>
      </c>
      <c r="K14" s="26" t="s">
        <v>544</v>
      </c>
      <c r="L14" s="26" t="s">
        <v>545</v>
      </c>
      <c r="M14" s="26" t="s">
        <v>546</v>
      </c>
      <c r="N14" s="26" t="s">
        <v>547</v>
      </c>
      <c r="O14" s="27" t="s">
        <v>548</v>
      </c>
      <c r="P14" s="27" t="s">
        <v>549</v>
      </c>
      <c r="Q14" s="26" t="s">
        <v>48</v>
      </c>
      <c r="R14" s="26" t="s">
        <v>550</v>
      </c>
      <c r="S14" s="26" t="s">
        <v>49</v>
      </c>
      <c r="T14" s="28"/>
      <c r="U14" s="27" t="s">
        <v>551</v>
      </c>
      <c r="V14" s="26" t="s">
        <v>552</v>
      </c>
      <c r="W14" s="26" t="s">
        <v>553</v>
      </c>
      <c r="X14" s="26">
        <v>15</v>
      </c>
      <c r="Y14" s="26">
        <v>0</v>
      </c>
      <c r="Z14" s="26">
        <v>9</v>
      </c>
      <c r="AA14" s="26">
        <v>4</v>
      </c>
      <c r="AB14" s="26">
        <v>2</v>
      </c>
      <c r="AC14" s="26">
        <f t="shared" si="0"/>
        <v>5</v>
      </c>
      <c r="AD14" s="26">
        <f t="shared" si="1"/>
        <v>5</v>
      </c>
      <c r="AE14" s="26">
        <f t="shared" si="2"/>
        <v>40</v>
      </c>
      <c r="AF14" s="26" t="s">
        <v>355</v>
      </c>
    </row>
    <row r="15" spans="1:32" x14ac:dyDescent="0.2">
      <c r="A15" s="26" t="s">
        <v>635</v>
      </c>
      <c r="B15" s="26" t="s">
        <v>106</v>
      </c>
      <c r="C15" s="26" t="s">
        <v>636</v>
      </c>
      <c r="D15" s="26" t="s">
        <v>637</v>
      </c>
      <c r="E15" s="26" t="s">
        <v>638</v>
      </c>
      <c r="F15" s="26" t="s">
        <v>639</v>
      </c>
      <c r="G15" s="26" t="s">
        <v>640</v>
      </c>
      <c r="H15" s="26" t="s">
        <v>94</v>
      </c>
      <c r="I15" s="26" t="s">
        <v>641</v>
      </c>
      <c r="J15" s="26" t="s">
        <v>642</v>
      </c>
      <c r="K15" s="26" t="s">
        <v>643</v>
      </c>
      <c r="L15" s="26" t="s">
        <v>644</v>
      </c>
      <c r="M15" s="26" t="s">
        <v>645</v>
      </c>
      <c r="N15" s="26" t="s">
        <v>646</v>
      </c>
      <c r="O15" s="27" t="s">
        <v>647</v>
      </c>
      <c r="P15" s="27" t="s">
        <v>648</v>
      </c>
      <c r="Q15" s="26" t="s">
        <v>48</v>
      </c>
      <c r="R15" s="28"/>
      <c r="S15" s="26" t="s">
        <v>49</v>
      </c>
      <c r="T15" s="28"/>
      <c r="U15" s="27" t="s">
        <v>649</v>
      </c>
      <c r="V15" s="26" t="s">
        <v>650</v>
      </c>
      <c r="W15" s="26" t="s">
        <v>650</v>
      </c>
      <c r="X15" s="26">
        <v>15</v>
      </c>
      <c r="Y15" s="26">
        <v>1</v>
      </c>
      <c r="Z15" s="26">
        <v>7</v>
      </c>
      <c r="AA15" s="26">
        <v>3</v>
      </c>
      <c r="AB15" s="26">
        <v>2</v>
      </c>
      <c r="AC15" s="26">
        <f t="shared" si="0"/>
        <v>5</v>
      </c>
      <c r="AD15" s="26">
        <f t="shared" si="1"/>
        <v>5</v>
      </c>
      <c r="AE15" s="26">
        <f t="shared" si="2"/>
        <v>38</v>
      </c>
      <c r="AF15" s="26" t="s">
        <v>355</v>
      </c>
    </row>
    <row r="16" spans="1:32" x14ac:dyDescent="0.2">
      <c r="A16" s="26" t="s">
        <v>1275</v>
      </c>
      <c r="B16" s="26" t="s">
        <v>1989</v>
      </c>
      <c r="C16" s="26" t="s">
        <v>1276</v>
      </c>
      <c r="D16" s="26" t="s">
        <v>556</v>
      </c>
      <c r="E16" s="26" t="s">
        <v>1277</v>
      </c>
      <c r="F16" s="26" t="s">
        <v>1278</v>
      </c>
      <c r="G16" s="26" t="s">
        <v>1279</v>
      </c>
      <c r="H16" s="26" t="s">
        <v>39</v>
      </c>
      <c r="I16" s="26" t="s">
        <v>1280</v>
      </c>
      <c r="J16" s="26" t="s">
        <v>1281</v>
      </c>
      <c r="K16" s="26" t="s">
        <v>1282</v>
      </c>
      <c r="L16" s="26" t="s">
        <v>1283</v>
      </c>
      <c r="M16" s="26" t="s">
        <v>1284</v>
      </c>
      <c r="N16" s="26" t="s">
        <v>1285</v>
      </c>
      <c r="O16" s="27" t="s">
        <v>1286</v>
      </c>
      <c r="P16" s="27" t="s">
        <v>1287</v>
      </c>
      <c r="Q16" s="26" t="s">
        <v>48</v>
      </c>
      <c r="R16" s="28"/>
      <c r="S16" s="26" t="s">
        <v>48</v>
      </c>
      <c r="T16" s="28"/>
      <c r="U16" s="27" t="s">
        <v>1288</v>
      </c>
      <c r="V16" s="26" t="s">
        <v>570</v>
      </c>
      <c r="W16" s="26" t="s">
        <v>570</v>
      </c>
      <c r="X16" s="26">
        <v>15</v>
      </c>
      <c r="Y16" s="26">
        <v>1</v>
      </c>
      <c r="Z16" s="26">
        <v>8</v>
      </c>
      <c r="AA16" s="26">
        <v>5</v>
      </c>
      <c r="AB16" s="26">
        <v>4</v>
      </c>
      <c r="AC16" s="26">
        <f t="shared" si="0"/>
        <v>5</v>
      </c>
      <c r="AD16" s="26">
        <f t="shared" si="1"/>
        <v>0</v>
      </c>
      <c r="AE16" s="26">
        <f t="shared" si="2"/>
        <v>38</v>
      </c>
      <c r="AF16" s="26" t="s">
        <v>355</v>
      </c>
    </row>
    <row r="17" spans="1:32" x14ac:dyDescent="0.2">
      <c r="A17" s="26" t="s">
        <v>934</v>
      </c>
      <c r="B17" s="26" t="s">
        <v>1985</v>
      </c>
      <c r="C17" s="26" t="s">
        <v>935</v>
      </c>
      <c r="D17" s="26" t="s">
        <v>936</v>
      </c>
      <c r="E17" s="26" t="s">
        <v>937</v>
      </c>
      <c r="F17" s="26" t="s">
        <v>938</v>
      </c>
      <c r="G17" s="26" t="s">
        <v>939</v>
      </c>
      <c r="H17" s="26" t="s">
        <v>39</v>
      </c>
      <c r="I17" s="26" t="s">
        <v>940</v>
      </c>
      <c r="J17" s="26" t="s">
        <v>941</v>
      </c>
      <c r="K17" s="26" t="s">
        <v>942</v>
      </c>
      <c r="L17" s="26" t="s">
        <v>943</v>
      </c>
      <c r="M17" s="26" t="s">
        <v>944</v>
      </c>
      <c r="N17" s="26" t="s">
        <v>945</v>
      </c>
      <c r="O17" s="27" t="s">
        <v>946</v>
      </c>
      <c r="P17" s="27" t="s">
        <v>947</v>
      </c>
      <c r="Q17" s="26" t="s">
        <v>48</v>
      </c>
      <c r="R17" s="26" t="s">
        <v>948</v>
      </c>
      <c r="S17" s="26" t="s">
        <v>48</v>
      </c>
      <c r="T17" s="28"/>
      <c r="U17" s="27" t="s">
        <v>949</v>
      </c>
      <c r="V17" s="26" t="s">
        <v>950</v>
      </c>
      <c r="W17" s="26" t="s">
        <v>950</v>
      </c>
      <c r="X17" s="26">
        <v>15</v>
      </c>
      <c r="Y17" s="26">
        <v>1</v>
      </c>
      <c r="Z17" s="26">
        <v>5</v>
      </c>
      <c r="AA17" s="26">
        <v>4</v>
      </c>
      <c r="AB17" s="26">
        <v>4</v>
      </c>
      <c r="AC17" s="26">
        <f t="shared" si="0"/>
        <v>5</v>
      </c>
      <c r="AD17" s="26">
        <f t="shared" si="1"/>
        <v>0</v>
      </c>
      <c r="AE17" s="26">
        <f t="shared" si="2"/>
        <v>34</v>
      </c>
      <c r="AF17" s="26" t="s">
        <v>355</v>
      </c>
    </row>
    <row r="18" spans="1:32" x14ac:dyDescent="0.2">
      <c r="A18" s="29" t="s">
        <v>371</v>
      </c>
      <c r="B18" s="29" t="s">
        <v>55</v>
      </c>
      <c r="C18" s="29" t="s">
        <v>372</v>
      </c>
      <c r="D18" s="29" t="s">
        <v>373</v>
      </c>
      <c r="E18" s="29" t="s">
        <v>374</v>
      </c>
      <c r="F18" s="29" t="s">
        <v>375</v>
      </c>
      <c r="G18" s="29" t="s">
        <v>376</v>
      </c>
      <c r="H18" s="29" t="s">
        <v>39</v>
      </c>
      <c r="I18" s="29" t="s">
        <v>377</v>
      </c>
      <c r="J18" s="29" t="s">
        <v>378</v>
      </c>
      <c r="K18" s="29" t="s">
        <v>379</v>
      </c>
      <c r="L18" s="29" t="s">
        <v>380</v>
      </c>
      <c r="M18" s="29" t="s">
        <v>381</v>
      </c>
      <c r="N18" s="29" t="s">
        <v>382</v>
      </c>
      <c r="O18" s="30" t="s">
        <v>383</v>
      </c>
      <c r="P18" s="30" t="s">
        <v>384</v>
      </c>
      <c r="Q18" s="29" t="s">
        <v>48</v>
      </c>
      <c r="R18" s="31"/>
      <c r="S18" s="29" t="s">
        <v>48</v>
      </c>
      <c r="T18" s="31"/>
      <c r="U18" s="30" t="s">
        <v>385</v>
      </c>
      <c r="V18" s="29" t="s">
        <v>386</v>
      </c>
      <c r="W18" s="29" t="s">
        <v>386</v>
      </c>
      <c r="X18" s="29">
        <v>10</v>
      </c>
      <c r="Y18" s="29">
        <v>1</v>
      </c>
      <c r="Z18" s="29">
        <v>6</v>
      </c>
      <c r="AA18" s="29">
        <v>3</v>
      </c>
      <c r="AB18" s="29">
        <v>4</v>
      </c>
      <c r="AC18" s="29">
        <f t="shared" si="0"/>
        <v>0</v>
      </c>
      <c r="AD18" s="29">
        <f t="shared" si="1"/>
        <v>0</v>
      </c>
      <c r="AE18" s="29">
        <f t="shared" si="2"/>
        <v>24</v>
      </c>
      <c r="AF18" s="29" t="s">
        <v>355</v>
      </c>
    </row>
    <row r="19" spans="1:32" x14ac:dyDescent="0.2">
      <c r="A19" s="29" t="s">
        <v>967</v>
      </c>
      <c r="B19" s="29" t="s">
        <v>968</v>
      </c>
      <c r="C19" s="29" t="s">
        <v>969</v>
      </c>
      <c r="D19" s="29" t="s">
        <v>970</v>
      </c>
      <c r="E19" s="29" t="s">
        <v>971</v>
      </c>
      <c r="F19" s="29" t="s">
        <v>972</v>
      </c>
      <c r="G19" s="29" t="s">
        <v>973</v>
      </c>
      <c r="H19" s="29" t="s">
        <v>39</v>
      </c>
      <c r="I19" s="29" t="s">
        <v>974</v>
      </c>
      <c r="J19" s="29" t="s">
        <v>975</v>
      </c>
      <c r="K19" s="29" t="s">
        <v>976</v>
      </c>
      <c r="L19" s="29" t="s">
        <v>977</v>
      </c>
      <c r="M19" s="29" t="s">
        <v>978</v>
      </c>
      <c r="N19" s="29" t="s">
        <v>979</v>
      </c>
      <c r="O19" s="30" t="s">
        <v>980</v>
      </c>
      <c r="P19" s="30" t="s">
        <v>981</v>
      </c>
      <c r="Q19" s="29" t="s">
        <v>48</v>
      </c>
      <c r="R19" s="31"/>
      <c r="S19" s="29" t="s">
        <v>49</v>
      </c>
      <c r="T19" s="31"/>
      <c r="U19" s="30" t="s">
        <v>982</v>
      </c>
      <c r="V19" s="29" t="s">
        <v>983</v>
      </c>
      <c r="W19" s="29" t="s">
        <v>984</v>
      </c>
      <c r="X19" s="29">
        <v>10</v>
      </c>
      <c r="Y19" s="29">
        <v>1</v>
      </c>
      <c r="Z19" s="29">
        <v>6</v>
      </c>
      <c r="AA19" s="29">
        <v>3</v>
      </c>
      <c r="AB19" s="29">
        <v>2</v>
      </c>
      <c r="AC19" s="29">
        <f t="shared" si="0"/>
        <v>5</v>
      </c>
      <c r="AD19" s="29">
        <f t="shared" si="1"/>
        <v>0</v>
      </c>
      <c r="AE19" s="29">
        <f t="shared" si="2"/>
        <v>27</v>
      </c>
      <c r="AF19" s="29" t="s">
        <v>53</v>
      </c>
    </row>
    <row r="20" spans="1:32" x14ac:dyDescent="0.2">
      <c r="A20" s="29" t="s">
        <v>1001</v>
      </c>
      <c r="B20" s="29" t="s">
        <v>106</v>
      </c>
      <c r="C20" s="29" t="s">
        <v>1002</v>
      </c>
      <c r="D20" s="29" t="s">
        <v>1003</v>
      </c>
      <c r="E20" s="29" t="s">
        <v>1004</v>
      </c>
      <c r="F20" s="29" t="s">
        <v>1005</v>
      </c>
      <c r="G20" s="29" t="s">
        <v>1006</v>
      </c>
      <c r="H20" s="29" t="s">
        <v>39</v>
      </c>
      <c r="I20" s="29" t="s">
        <v>1007</v>
      </c>
      <c r="J20" s="29" t="s">
        <v>1008</v>
      </c>
      <c r="K20" s="29" t="s">
        <v>1009</v>
      </c>
      <c r="L20" s="29" t="s">
        <v>1010</v>
      </c>
      <c r="M20" s="29" t="s">
        <v>1011</v>
      </c>
      <c r="N20" s="29" t="s">
        <v>1012</v>
      </c>
      <c r="O20" s="30" t="s">
        <v>1013</v>
      </c>
      <c r="P20" s="30" t="s">
        <v>1014</v>
      </c>
      <c r="Q20" s="29" t="s">
        <v>48</v>
      </c>
      <c r="R20" s="31"/>
      <c r="S20" s="29" t="s">
        <v>48</v>
      </c>
      <c r="T20" s="31"/>
      <c r="U20" s="30" t="s">
        <v>1015</v>
      </c>
      <c r="V20" s="29" t="s">
        <v>1016</v>
      </c>
      <c r="W20" s="31"/>
      <c r="X20" s="29">
        <v>20</v>
      </c>
      <c r="Y20" s="31"/>
      <c r="Z20" s="31"/>
      <c r="AA20" s="31"/>
      <c r="AB20" s="31"/>
      <c r="AC20" s="29">
        <f t="shared" si="0"/>
        <v>5</v>
      </c>
      <c r="AD20" s="29">
        <f t="shared" si="1"/>
        <v>0</v>
      </c>
      <c r="AE20" s="29">
        <f t="shared" si="2"/>
        <v>25</v>
      </c>
      <c r="AF20" s="31"/>
    </row>
    <row r="21" spans="1:32" x14ac:dyDescent="0.2">
      <c r="A21" s="29" t="s">
        <v>1419</v>
      </c>
      <c r="B21" s="29" t="s">
        <v>1988</v>
      </c>
      <c r="C21" s="29" t="s">
        <v>1420</v>
      </c>
      <c r="D21" s="29" t="s">
        <v>1421</v>
      </c>
      <c r="E21" s="29" t="s">
        <v>1422</v>
      </c>
      <c r="F21" s="29" t="s">
        <v>1423</v>
      </c>
      <c r="G21" s="29" t="s">
        <v>1424</v>
      </c>
      <c r="H21" s="29" t="s">
        <v>39</v>
      </c>
      <c r="I21" s="29" t="s">
        <v>1425</v>
      </c>
      <c r="J21" s="29" t="s">
        <v>1426</v>
      </c>
      <c r="K21" s="29" t="s">
        <v>1427</v>
      </c>
      <c r="L21" s="29" t="s">
        <v>1428</v>
      </c>
      <c r="M21" s="29" t="s">
        <v>1429</v>
      </c>
      <c r="N21" s="29" t="s">
        <v>1430</v>
      </c>
      <c r="O21" s="30" t="s">
        <v>1431</v>
      </c>
      <c r="P21" s="30" t="s">
        <v>1432</v>
      </c>
      <c r="Q21" s="29" t="s">
        <v>48</v>
      </c>
      <c r="R21" s="29" t="s">
        <v>1433</v>
      </c>
      <c r="S21" s="29" t="s">
        <v>48</v>
      </c>
      <c r="T21" s="29" t="s">
        <v>1433</v>
      </c>
      <c r="U21" s="30" t="s">
        <v>1434</v>
      </c>
      <c r="V21" s="29" t="s">
        <v>1435</v>
      </c>
      <c r="W21" s="31"/>
      <c r="X21" s="29">
        <v>20</v>
      </c>
      <c r="Y21" s="31"/>
      <c r="Z21" s="31"/>
      <c r="AA21" s="31"/>
      <c r="AB21" s="31"/>
      <c r="AC21" s="29">
        <f t="shared" si="0"/>
        <v>5</v>
      </c>
      <c r="AD21" s="29">
        <f t="shared" si="1"/>
        <v>0</v>
      </c>
      <c r="AE21" s="29">
        <f t="shared" si="2"/>
        <v>25</v>
      </c>
      <c r="AF21" s="31"/>
    </row>
    <row r="22" spans="1:32" x14ac:dyDescent="0.2">
      <c r="A22" s="32" t="s">
        <v>303</v>
      </c>
      <c r="B22" s="32" t="s">
        <v>304</v>
      </c>
      <c r="C22" s="32" t="s">
        <v>305</v>
      </c>
      <c r="D22" s="32" t="s">
        <v>306</v>
      </c>
      <c r="E22" s="32" t="s">
        <v>307</v>
      </c>
      <c r="F22" s="32" t="s">
        <v>308</v>
      </c>
      <c r="G22" s="32" t="s">
        <v>309</v>
      </c>
      <c r="H22" s="32" t="s">
        <v>94</v>
      </c>
      <c r="I22" s="32" t="s">
        <v>310</v>
      </c>
      <c r="J22" s="32" t="s">
        <v>311</v>
      </c>
      <c r="K22" s="32" t="s">
        <v>312</v>
      </c>
      <c r="L22" s="32" t="s">
        <v>313</v>
      </c>
      <c r="M22" s="32" t="s">
        <v>314</v>
      </c>
      <c r="N22" s="32" t="s">
        <v>315</v>
      </c>
      <c r="O22" s="33" t="s">
        <v>316</v>
      </c>
      <c r="P22" s="33" t="s">
        <v>317</v>
      </c>
      <c r="Q22" s="32" t="s">
        <v>48</v>
      </c>
      <c r="R22" s="34"/>
      <c r="S22" s="32" t="s">
        <v>49</v>
      </c>
      <c r="T22" s="34"/>
      <c r="U22" s="33" t="s">
        <v>318</v>
      </c>
      <c r="V22" s="32" t="s">
        <v>319</v>
      </c>
      <c r="W22" s="34"/>
      <c r="X22" s="32">
        <v>10</v>
      </c>
      <c r="Y22" s="34"/>
      <c r="Z22" s="34"/>
      <c r="AA22" s="34"/>
      <c r="AB22" s="34"/>
      <c r="AC22" s="32">
        <f t="shared" si="0"/>
        <v>5</v>
      </c>
      <c r="AD22" s="32">
        <f t="shared" si="1"/>
        <v>5</v>
      </c>
      <c r="AE22" s="32">
        <f t="shared" si="2"/>
        <v>20</v>
      </c>
      <c r="AF22" s="34"/>
    </row>
    <row r="23" spans="1:32" x14ac:dyDescent="0.2">
      <c r="A23" s="23"/>
      <c r="B23" s="22"/>
      <c r="C23" s="22" t="s">
        <v>1990</v>
      </c>
      <c r="D23" s="22"/>
      <c r="E23" s="23"/>
      <c r="F23" s="23"/>
      <c r="G23" s="23"/>
      <c r="H23" s="23"/>
      <c r="I23" s="23"/>
      <c r="J23" s="23"/>
      <c r="K23" s="23"/>
      <c r="L23" s="23"/>
      <c r="M23" s="23"/>
      <c r="N23" s="23"/>
      <c r="O23" s="24"/>
      <c r="P23" s="24"/>
      <c r="Q23" s="23"/>
      <c r="R23" s="23"/>
      <c r="S23" s="23"/>
      <c r="T23" s="23"/>
      <c r="U23" s="24"/>
      <c r="V23" s="23"/>
      <c r="W23" s="25"/>
      <c r="X23" s="23"/>
      <c r="Y23" s="25"/>
      <c r="Z23" s="25"/>
      <c r="AA23" s="25"/>
      <c r="AB23" s="25"/>
      <c r="AC23" s="23"/>
      <c r="AD23" s="23"/>
      <c r="AE23" s="23"/>
      <c r="AF23" s="25"/>
    </row>
    <row r="24" spans="1:32" x14ac:dyDescent="0.2">
      <c r="A24" s="32" t="s">
        <v>1128</v>
      </c>
      <c r="B24" s="32" t="s">
        <v>55</v>
      </c>
      <c r="C24" s="32" t="s">
        <v>1129</v>
      </c>
      <c r="D24" s="32" t="s">
        <v>1130</v>
      </c>
      <c r="E24" s="32" t="s">
        <v>1131</v>
      </c>
      <c r="F24" s="32" t="s">
        <v>1132</v>
      </c>
      <c r="G24" s="32" t="s">
        <v>1133</v>
      </c>
      <c r="H24" s="32" t="s">
        <v>94</v>
      </c>
      <c r="I24" s="32" t="s">
        <v>1134</v>
      </c>
      <c r="J24" s="32" t="s">
        <v>378</v>
      </c>
      <c r="K24" s="32" t="s">
        <v>1135</v>
      </c>
      <c r="L24" s="32" t="s">
        <v>1136</v>
      </c>
      <c r="M24" s="32" t="s">
        <v>1137</v>
      </c>
      <c r="N24" s="32" t="s">
        <v>1138</v>
      </c>
      <c r="O24" s="33" t="s">
        <v>1139</v>
      </c>
      <c r="P24" s="33" t="s">
        <v>1140</v>
      </c>
      <c r="Q24" s="32" t="s">
        <v>48</v>
      </c>
      <c r="R24" s="32" t="s">
        <v>48</v>
      </c>
      <c r="S24" s="32" t="s">
        <v>48</v>
      </c>
      <c r="T24" s="32" t="s">
        <v>48</v>
      </c>
      <c r="U24" s="33" t="s">
        <v>1141</v>
      </c>
      <c r="V24" s="32" t="s">
        <v>1142</v>
      </c>
      <c r="W24" s="34"/>
      <c r="X24" s="32">
        <v>15</v>
      </c>
      <c r="Y24" s="34"/>
      <c r="Z24" s="34"/>
      <c r="AA24" s="34"/>
      <c r="AB24" s="34"/>
      <c r="AC24" s="32">
        <f t="shared" ref="AC24:AC25" si="3">IF(B24="Ghana",0,5)</f>
        <v>0</v>
      </c>
      <c r="AD24" s="32">
        <f t="shared" ref="AD24:AD25" si="4">IF(H24="Female",5,0)</f>
        <v>5</v>
      </c>
      <c r="AE24" s="32">
        <f t="shared" ref="AE24:AE25" si="5">SUM(X24:AD24)</f>
        <v>20</v>
      </c>
      <c r="AF24" s="34"/>
    </row>
    <row r="25" spans="1:32" x14ac:dyDescent="0.2">
      <c r="A25" s="32" t="s">
        <v>1835</v>
      </c>
      <c r="B25" s="32" t="s">
        <v>1988</v>
      </c>
      <c r="C25" s="32" t="s">
        <v>1836</v>
      </c>
      <c r="D25" s="32" t="s">
        <v>1837</v>
      </c>
      <c r="E25" s="32" t="s">
        <v>1838</v>
      </c>
      <c r="F25" s="32" t="s">
        <v>1839</v>
      </c>
      <c r="G25" s="32" t="s">
        <v>1840</v>
      </c>
      <c r="H25" s="32" t="s">
        <v>94</v>
      </c>
      <c r="I25" s="32" t="s">
        <v>1841</v>
      </c>
      <c r="J25" s="32" t="s">
        <v>1842</v>
      </c>
      <c r="K25" s="32" t="s">
        <v>1843</v>
      </c>
      <c r="L25" s="32" t="s">
        <v>1844</v>
      </c>
      <c r="M25" s="32" t="s">
        <v>1845</v>
      </c>
      <c r="N25" s="32" t="s">
        <v>1846</v>
      </c>
      <c r="O25" s="33" t="s">
        <v>1847</v>
      </c>
      <c r="P25" s="33" t="s">
        <v>1848</v>
      </c>
      <c r="Q25" s="32" t="s">
        <v>48</v>
      </c>
      <c r="R25" s="34"/>
      <c r="S25" s="32" t="s">
        <v>48</v>
      </c>
      <c r="T25" s="34"/>
      <c r="U25" s="33" t="s">
        <v>1849</v>
      </c>
      <c r="V25" s="32" t="s">
        <v>1850</v>
      </c>
      <c r="W25" s="32" t="s">
        <v>1851</v>
      </c>
      <c r="X25" s="32">
        <v>20</v>
      </c>
      <c r="Y25" s="32">
        <v>1</v>
      </c>
      <c r="Z25" s="32">
        <v>7</v>
      </c>
      <c r="AA25" s="32">
        <v>3</v>
      </c>
      <c r="AB25" s="32">
        <v>4</v>
      </c>
      <c r="AC25" s="32">
        <f t="shared" si="3"/>
        <v>5</v>
      </c>
      <c r="AD25" s="32">
        <f t="shared" si="4"/>
        <v>5</v>
      </c>
      <c r="AE25" s="32">
        <f t="shared" si="5"/>
        <v>45</v>
      </c>
      <c r="AF25" s="32" t="s">
        <v>355</v>
      </c>
    </row>
    <row r="26" spans="1:32" x14ac:dyDescent="0.2">
      <c r="B26" s="22"/>
      <c r="C26" s="22" t="s">
        <v>1991</v>
      </c>
    </row>
    <row r="27" spans="1:32" x14ac:dyDescent="0.2">
      <c r="A27" s="23"/>
      <c r="B27" s="23"/>
      <c r="C27" s="22" t="s">
        <v>1992</v>
      </c>
      <c r="D27" s="23"/>
      <c r="E27" s="23"/>
      <c r="F27" s="23"/>
      <c r="G27" s="23"/>
      <c r="H27" s="23"/>
      <c r="I27" s="23"/>
      <c r="J27" s="23"/>
      <c r="K27" s="23"/>
      <c r="L27" s="23"/>
      <c r="M27" s="23"/>
      <c r="N27" s="23"/>
      <c r="O27" s="24"/>
      <c r="P27" s="24"/>
      <c r="Q27" s="23"/>
      <c r="R27" s="23"/>
      <c r="S27" s="23"/>
      <c r="T27" s="23"/>
      <c r="U27" s="24"/>
      <c r="V27" s="23"/>
      <c r="W27" s="23"/>
      <c r="X27" s="23"/>
      <c r="Y27" s="23"/>
      <c r="Z27" s="23"/>
      <c r="AA27" s="23"/>
      <c r="AB27" s="23"/>
      <c r="AC27" s="23"/>
      <c r="AD27" s="23"/>
      <c r="AE27" s="23"/>
      <c r="AF27" s="23"/>
    </row>
    <row r="28" spans="1:32" x14ac:dyDescent="0.2">
      <c r="A28" s="35" t="s">
        <v>1739</v>
      </c>
      <c r="B28" s="35" t="s">
        <v>55</v>
      </c>
      <c r="C28" s="35" t="s">
        <v>1740</v>
      </c>
      <c r="D28" s="35" t="s">
        <v>1741</v>
      </c>
      <c r="E28" s="35" t="s">
        <v>1742</v>
      </c>
      <c r="F28" s="35" t="s">
        <v>1743</v>
      </c>
      <c r="G28" s="35" t="s">
        <v>1744</v>
      </c>
      <c r="H28" s="35" t="s">
        <v>94</v>
      </c>
      <c r="I28" s="35" t="s">
        <v>850</v>
      </c>
      <c r="J28" s="35" t="s">
        <v>1745</v>
      </c>
      <c r="K28" s="40" t="s">
        <v>1746</v>
      </c>
      <c r="L28" s="35" t="s">
        <v>1747</v>
      </c>
      <c r="M28" s="35" t="s">
        <v>1748</v>
      </c>
      <c r="N28" s="35" t="s">
        <v>1749</v>
      </c>
      <c r="O28" s="36" t="s">
        <v>1750</v>
      </c>
      <c r="P28" s="36" t="s">
        <v>1751</v>
      </c>
      <c r="Q28" s="35" t="s">
        <v>48</v>
      </c>
      <c r="R28" s="35" t="s">
        <v>48</v>
      </c>
      <c r="S28" s="35" t="s">
        <v>48</v>
      </c>
      <c r="T28" s="35" t="s">
        <v>48</v>
      </c>
      <c r="U28" s="36" t="s">
        <v>1752</v>
      </c>
      <c r="V28" s="35" t="s">
        <v>1753</v>
      </c>
      <c r="W28" s="35" t="s">
        <v>1754</v>
      </c>
      <c r="X28" s="35">
        <v>15</v>
      </c>
      <c r="Y28" s="35">
        <v>1</v>
      </c>
      <c r="Z28" s="35">
        <v>6</v>
      </c>
      <c r="AA28" s="35">
        <v>3</v>
      </c>
      <c r="AB28" s="35">
        <v>4</v>
      </c>
      <c r="AC28" s="35">
        <f t="shared" ref="AC28:AC29" si="6">IF(B28="Ghana",0,5)</f>
        <v>0</v>
      </c>
      <c r="AD28" s="35">
        <f t="shared" ref="AD28:AD29" si="7">IF(H28="Female",5,0)</f>
        <v>5</v>
      </c>
      <c r="AE28" s="35">
        <f t="shared" ref="AE28:AE29" si="8">SUM(X28:AD28)</f>
        <v>34</v>
      </c>
      <c r="AF28" s="35" t="s">
        <v>355</v>
      </c>
    </row>
    <row r="29" spans="1:32" x14ac:dyDescent="0.2">
      <c r="A29" s="35" t="s">
        <v>1657</v>
      </c>
      <c r="B29" s="35" t="s">
        <v>55</v>
      </c>
      <c r="C29" s="35" t="s">
        <v>1658</v>
      </c>
      <c r="D29" s="35" t="s">
        <v>1659</v>
      </c>
      <c r="E29" s="35" t="s">
        <v>1660</v>
      </c>
      <c r="F29" s="35" t="s">
        <v>1661</v>
      </c>
      <c r="G29" s="35" t="s">
        <v>1662</v>
      </c>
      <c r="H29" s="35" t="s">
        <v>94</v>
      </c>
      <c r="I29" s="35" t="s">
        <v>1663</v>
      </c>
      <c r="J29" s="35" t="s">
        <v>1664</v>
      </c>
      <c r="K29" s="40" t="s">
        <v>1665</v>
      </c>
      <c r="L29" s="40" t="s">
        <v>1666</v>
      </c>
      <c r="M29" s="40" t="s">
        <v>1667</v>
      </c>
      <c r="N29" s="35" t="s">
        <v>1668</v>
      </c>
      <c r="O29" s="36" t="s">
        <v>1669</v>
      </c>
      <c r="P29" s="36" t="s">
        <v>1670</v>
      </c>
      <c r="Q29" s="35" t="s">
        <v>48</v>
      </c>
      <c r="R29" s="35" t="s">
        <v>1671</v>
      </c>
      <c r="S29" s="35" t="s">
        <v>48</v>
      </c>
      <c r="T29" s="35" t="s">
        <v>1671</v>
      </c>
      <c r="U29" s="36" t="s">
        <v>1672</v>
      </c>
      <c r="V29" s="35" t="s">
        <v>1673</v>
      </c>
      <c r="W29" s="37"/>
      <c r="X29" s="35">
        <v>10</v>
      </c>
      <c r="Y29" s="35">
        <v>0</v>
      </c>
      <c r="Z29" s="35">
        <v>7</v>
      </c>
      <c r="AA29" s="35">
        <v>2</v>
      </c>
      <c r="AB29" s="35">
        <v>0</v>
      </c>
      <c r="AC29" s="35">
        <f t="shared" si="6"/>
        <v>0</v>
      </c>
      <c r="AD29" s="35">
        <f t="shared" si="7"/>
        <v>5</v>
      </c>
      <c r="AE29" s="35">
        <f t="shared" si="8"/>
        <v>24</v>
      </c>
      <c r="AF29" s="35" t="s">
        <v>53</v>
      </c>
    </row>
    <row r="31" spans="1:32" x14ac:dyDescent="0.2">
      <c r="B31" s="22"/>
      <c r="C31" s="22" t="s">
        <v>1993</v>
      </c>
    </row>
    <row r="32" spans="1:32" x14ac:dyDescent="0.2">
      <c r="A32" s="32" t="s">
        <v>749</v>
      </c>
      <c r="B32" s="32" t="s">
        <v>1986</v>
      </c>
      <c r="C32" s="32" t="s">
        <v>750</v>
      </c>
      <c r="D32" s="32" t="s">
        <v>751</v>
      </c>
      <c r="E32" s="32" t="s">
        <v>751</v>
      </c>
      <c r="F32" s="32" t="s">
        <v>752</v>
      </c>
      <c r="G32" s="32" t="s">
        <v>753</v>
      </c>
      <c r="H32" s="32" t="s">
        <v>39</v>
      </c>
      <c r="I32" s="32" t="s">
        <v>754</v>
      </c>
      <c r="J32" s="32" t="s">
        <v>755</v>
      </c>
      <c r="K32" s="32" t="s">
        <v>756</v>
      </c>
      <c r="L32" s="32" t="s">
        <v>757</v>
      </c>
      <c r="M32" s="32" t="s">
        <v>758</v>
      </c>
      <c r="N32" s="32" t="s">
        <v>759</v>
      </c>
      <c r="O32" s="33" t="s">
        <v>760</v>
      </c>
      <c r="P32" s="33" t="s">
        <v>761</v>
      </c>
      <c r="Q32" s="32" t="s">
        <v>48</v>
      </c>
      <c r="R32" s="32" t="s">
        <v>1982</v>
      </c>
      <c r="S32" s="32" t="s">
        <v>48</v>
      </c>
      <c r="T32" s="34"/>
      <c r="U32" s="33" t="s">
        <v>762</v>
      </c>
      <c r="V32" s="32" t="s">
        <v>763</v>
      </c>
      <c r="W32" s="32" t="s">
        <v>763</v>
      </c>
      <c r="X32" s="32">
        <v>20</v>
      </c>
      <c r="Y32" s="32">
        <v>1</v>
      </c>
      <c r="Z32" s="32">
        <v>7</v>
      </c>
      <c r="AA32" s="32">
        <v>3</v>
      </c>
      <c r="AB32" s="32">
        <v>4</v>
      </c>
      <c r="AC32" s="32">
        <f t="shared" ref="AC32:AC39" si="9">IF(B32="Ghana",0,5)</f>
        <v>5</v>
      </c>
      <c r="AD32" s="32">
        <f t="shared" ref="AD32:AD39" si="10">IF(H32="Female",5,0)</f>
        <v>0</v>
      </c>
      <c r="AE32" s="32">
        <f t="shared" ref="AE32:AE39" si="11">SUM(X32:AD32)</f>
        <v>40</v>
      </c>
      <c r="AF32" s="32" t="s">
        <v>535</v>
      </c>
    </row>
    <row r="33" spans="1:32" x14ac:dyDescent="0.2">
      <c r="A33" s="32" t="s">
        <v>1723</v>
      </c>
      <c r="B33" s="32" t="s">
        <v>106</v>
      </c>
      <c r="C33" s="32" t="s">
        <v>1724</v>
      </c>
      <c r="D33" s="32" t="s">
        <v>1725</v>
      </c>
      <c r="E33" s="32" t="s">
        <v>1726</v>
      </c>
      <c r="F33" s="32" t="s">
        <v>1727</v>
      </c>
      <c r="G33" s="32" t="s">
        <v>1728</v>
      </c>
      <c r="H33" s="32" t="s">
        <v>39</v>
      </c>
      <c r="I33" s="32" t="s">
        <v>1729</v>
      </c>
      <c r="J33" s="32" t="s">
        <v>1730</v>
      </c>
      <c r="K33" s="39" t="s">
        <v>1731</v>
      </c>
      <c r="L33" s="32" t="s">
        <v>1732</v>
      </c>
      <c r="M33" s="32" t="s">
        <v>1733</v>
      </c>
      <c r="N33" s="32" t="s">
        <v>1734</v>
      </c>
      <c r="O33" s="33" t="s">
        <v>1735</v>
      </c>
      <c r="P33" s="33" t="s">
        <v>1736</v>
      </c>
      <c r="Q33" s="32" t="s">
        <v>48</v>
      </c>
      <c r="R33" s="34"/>
      <c r="S33" s="32" t="s">
        <v>48</v>
      </c>
      <c r="T33" s="34"/>
      <c r="U33" s="33" t="s">
        <v>1737</v>
      </c>
      <c r="V33" s="32" t="s">
        <v>1738</v>
      </c>
      <c r="W33" s="32" t="s">
        <v>1738</v>
      </c>
      <c r="X33" s="32">
        <v>15</v>
      </c>
      <c r="Y33" s="32">
        <v>4</v>
      </c>
      <c r="Z33" s="32">
        <v>7</v>
      </c>
      <c r="AA33" s="32">
        <v>4</v>
      </c>
      <c r="AB33" s="32">
        <v>4</v>
      </c>
      <c r="AC33" s="32">
        <f t="shared" si="9"/>
        <v>5</v>
      </c>
      <c r="AD33" s="32">
        <f t="shared" si="10"/>
        <v>0</v>
      </c>
      <c r="AE33" s="32">
        <f t="shared" si="11"/>
        <v>39</v>
      </c>
      <c r="AF33" s="32" t="s">
        <v>355</v>
      </c>
    </row>
    <row r="34" spans="1:32" x14ac:dyDescent="0.2">
      <c r="A34" s="32" t="s">
        <v>901</v>
      </c>
      <c r="B34" s="32" t="s">
        <v>106</v>
      </c>
      <c r="C34" s="32" t="s">
        <v>902</v>
      </c>
      <c r="D34" s="32" t="s">
        <v>903</v>
      </c>
      <c r="E34" s="32" t="s">
        <v>904</v>
      </c>
      <c r="F34" s="32" t="s">
        <v>905</v>
      </c>
      <c r="G34" s="32" t="s">
        <v>906</v>
      </c>
      <c r="H34" s="32" t="s">
        <v>39</v>
      </c>
      <c r="I34" s="32" t="s">
        <v>907</v>
      </c>
      <c r="J34" s="32" t="s">
        <v>908</v>
      </c>
      <c r="K34" s="32" t="s">
        <v>909</v>
      </c>
      <c r="L34" s="32" t="s">
        <v>910</v>
      </c>
      <c r="M34" s="32" t="s">
        <v>911</v>
      </c>
      <c r="N34" s="32" t="s">
        <v>912</v>
      </c>
      <c r="O34" s="33" t="s">
        <v>913</v>
      </c>
      <c r="P34" s="33" t="s">
        <v>914</v>
      </c>
      <c r="Q34" s="32" t="s">
        <v>48</v>
      </c>
      <c r="R34" s="32" t="s">
        <v>48</v>
      </c>
      <c r="S34" s="32" t="s">
        <v>48</v>
      </c>
      <c r="T34" s="32" t="s">
        <v>48</v>
      </c>
      <c r="U34" s="33" t="s">
        <v>915</v>
      </c>
      <c r="V34" s="32" t="s">
        <v>916</v>
      </c>
      <c r="W34" s="32" t="s">
        <v>916</v>
      </c>
      <c r="X34" s="32">
        <v>15</v>
      </c>
      <c r="Y34" s="32">
        <v>0</v>
      </c>
      <c r="Z34" s="32">
        <v>8</v>
      </c>
      <c r="AA34" s="32">
        <v>3</v>
      </c>
      <c r="AB34" s="32">
        <v>2</v>
      </c>
      <c r="AC34" s="32">
        <f t="shared" si="9"/>
        <v>5</v>
      </c>
      <c r="AD34" s="32">
        <f t="shared" si="10"/>
        <v>0</v>
      </c>
      <c r="AE34" s="32">
        <f t="shared" si="11"/>
        <v>33</v>
      </c>
      <c r="AF34" s="32" t="s">
        <v>355</v>
      </c>
    </row>
    <row r="35" spans="1:32" x14ac:dyDescent="0.2">
      <c r="A35" s="32" t="s">
        <v>1048</v>
      </c>
      <c r="B35" s="32" t="s">
        <v>106</v>
      </c>
      <c r="C35" s="32" t="s">
        <v>1049</v>
      </c>
      <c r="D35" s="32" t="s">
        <v>987</v>
      </c>
      <c r="E35" s="32" t="s">
        <v>1050</v>
      </c>
      <c r="F35" s="32" t="s">
        <v>1051</v>
      </c>
      <c r="G35" s="32" t="s">
        <v>1052</v>
      </c>
      <c r="H35" s="32" t="s">
        <v>39</v>
      </c>
      <c r="I35" s="32" t="s">
        <v>1053</v>
      </c>
      <c r="J35" s="32" t="s">
        <v>1054</v>
      </c>
      <c r="K35" s="39" t="s">
        <v>1055</v>
      </c>
      <c r="L35" s="39" t="s">
        <v>1056</v>
      </c>
      <c r="M35" s="32" t="s">
        <v>1057</v>
      </c>
      <c r="N35" s="32" t="s">
        <v>1058</v>
      </c>
      <c r="O35" s="33" t="s">
        <v>1059</v>
      </c>
      <c r="P35" s="33" t="s">
        <v>1060</v>
      </c>
      <c r="Q35" s="32" t="s">
        <v>48</v>
      </c>
      <c r="R35" s="34"/>
      <c r="S35" s="32" t="s">
        <v>48</v>
      </c>
      <c r="T35" s="34"/>
      <c r="U35" s="33" t="s">
        <v>1061</v>
      </c>
      <c r="V35" s="32" t="s">
        <v>1062</v>
      </c>
      <c r="W35" s="32" t="s">
        <v>1063</v>
      </c>
      <c r="X35" s="32">
        <v>10</v>
      </c>
      <c r="Y35" s="32">
        <v>0</v>
      </c>
      <c r="Z35" s="32">
        <v>3</v>
      </c>
      <c r="AA35" s="32">
        <v>2</v>
      </c>
      <c r="AB35" s="32">
        <v>6</v>
      </c>
      <c r="AC35" s="32">
        <f t="shared" si="9"/>
        <v>5</v>
      </c>
      <c r="AD35" s="32">
        <f t="shared" si="10"/>
        <v>0</v>
      </c>
      <c r="AE35" s="32">
        <f t="shared" si="11"/>
        <v>26</v>
      </c>
      <c r="AF35" s="32" t="s">
        <v>1064</v>
      </c>
    </row>
    <row r="36" spans="1:32" x14ac:dyDescent="0.2">
      <c r="A36" s="32" t="s">
        <v>1933</v>
      </c>
      <c r="B36" s="32" t="s">
        <v>1994</v>
      </c>
      <c r="C36" s="32" t="s">
        <v>1934</v>
      </c>
      <c r="D36" s="32" t="s">
        <v>1935</v>
      </c>
      <c r="E36" s="32" t="s">
        <v>1936</v>
      </c>
      <c r="F36" s="32" t="s">
        <v>1937</v>
      </c>
      <c r="G36" s="32" t="s">
        <v>1938</v>
      </c>
      <c r="H36" s="32" t="s">
        <v>39</v>
      </c>
      <c r="I36" s="32" t="s">
        <v>1939</v>
      </c>
      <c r="J36" s="32" t="s">
        <v>1940</v>
      </c>
      <c r="K36" s="39" t="s">
        <v>1941</v>
      </c>
      <c r="L36" s="39" t="s">
        <v>1942</v>
      </c>
      <c r="M36" s="39" t="s">
        <v>1943</v>
      </c>
      <c r="N36" s="39" t="s">
        <v>1944</v>
      </c>
      <c r="O36" s="33" t="s">
        <v>1945</v>
      </c>
      <c r="P36" s="33" t="s">
        <v>1946</v>
      </c>
      <c r="Q36" s="32" t="s">
        <v>48</v>
      </c>
      <c r="R36" s="34"/>
      <c r="S36" s="32" t="s">
        <v>49</v>
      </c>
      <c r="T36" s="34"/>
      <c r="U36" s="33" t="s">
        <v>1947</v>
      </c>
      <c r="V36" s="32" t="s">
        <v>1948</v>
      </c>
      <c r="W36" s="32" t="s">
        <v>1948</v>
      </c>
      <c r="X36" s="32">
        <v>10</v>
      </c>
      <c r="Y36" s="32">
        <v>2</v>
      </c>
      <c r="Z36" s="32">
        <v>6</v>
      </c>
      <c r="AA36" s="32">
        <v>3</v>
      </c>
      <c r="AB36" s="32">
        <v>2</v>
      </c>
      <c r="AC36" s="32">
        <f t="shared" si="9"/>
        <v>5</v>
      </c>
      <c r="AD36" s="32">
        <f t="shared" si="10"/>
        <v>0</v>
      </c>
      <c r="AE36" s="32">
        <f t="shared" si="11"/>
        <v>28</v>
      </c>
      <c r="AF36" s="32" t="s">
        <v>53</v>
      </c>
    </row>
    <row r="37" spans="1:32" x14ac:dyDescent="0.2">
      <c r="A37" s="32" t="s">
        <v>1564</v>
      </c>
      <c r="B37" s="32" t="s">
        <v>106</v>
      </c>
      <c r="C37" s="32" t="s">
        <v>1565</v>
      </c>
      <c r="D37" s="32" t="s">
        <v>1566</v>
      </c>
      <c r="E37" s="32" t="s">
        <v>1567</v>
      </c>
      <c r="F37" s="32" t="s">
        <v>1568</v>
      </c>
      <c r="G37" s="32" t="s">
        <v>1569</v>
      </c>
      <c r="H37" s="32" t="s">
        <v>39</v>
      </c>
      <c r="I37" s="32" t="s">
        <v>1570</v>
      </c>
      <c r="J37" s="32" t="s">
        <v>1571</v>
      </c>
      <c r="K37" s="32" t="s">
        <v>1572</v>
      </c>
      <c r="L37" s="32" t="s">
        <v>1573</v>
      </c>
      <c r="M37" s="32" t="s">
        <v>1574</v>
      </c>
      <c r="N37" s="32" t="s">
        <v>1575</v>
      </c>
      <c r="O37" s="33" t="s">
        <v>1576</v>
      </c>
      <c r="P37" s="33" t="s">
        <v>1577</v>
      </c>
      <c r="Q37" s="32" t="s">
        <v>48</v>
      </c>
      <c r="R37" s="32" t="s">
        <v>1433</v>
      </c>
      <c r="S37" s="32" t="s">
        <v>48</v>
      </c>
      <c r="T37" s="32" t="s">
        <v>1433</v>
      </c>
      <c r="U37" s="33" t="s">
        <v>1578</v>
      </c>
      <c r="V37" s="32" t="s">
        <v>1579</v>
      </c>
      <c r="W37" s="32" t="s">
        <v>1579</v>
      </c>
      <c r="X37" s="32">
        <v>10</v>
      </c>
      <c r="Y37" s="32">
        <v>1</v>
      </c>
      <c r="Z37" s="32">
        <v>7</v>
      </c>
      <c r="AA37" s="32">
        <v>3</v>
      </c>
      <c r="AB37" s="32">
        <v>4</v>
      </c>
      <c r="AC37" s="32">
        <f t="shared" si="9"/>
        <v>5</v>
      </c>
      <c r="AD37" s="32">
        <f t="shared" si="10"/>
        <v>0</v>
      </c>
      <c r="AE37" s="32">
        <f t="shared" si="11"/>
        <v>30</v>
      </c>
      <c r="AF37" s="32" t="s">
        <v>53</v>
      </c>
    </row>
    <row r="38" spans="1:32" x14ac:dyDescent="0.2">
      <c r="A38" s="32" t="s">
        <v>1321</v>
      </c>
      <c r="B38" s="32" t="s">
        <v>239</v>
      </c>
      <c r="C38" s="32" t="s">
        <v>1322</v>
      </c>
      <c r="D38" s="32" t="s">
        <v>1323</v>
      </c>
      <c r="E38" s="32" t="s">
        <v>1324</v>
      </c>
      <c r="F38" s="32" t="s">
        <v>1325</v>
      </c>
      <c r="G38" s="32" t="s">
        <v>1326</v>
      </c>
      <c r="H38" s="32" t="s">
        <v>39</v>
      </c>
      <c r="I38" s="32" t="s">
        <v>1327</v>
      </c>
      <c r="J38" s="32" t="s">
        <v>1328</v>
      </c>
      <c r="K38" s="39" t="s">
        <v>1329</v>
      </c>
      <c r="L38" s="39" t="s">
        <v>1330</v>
      </c>
      <c r="M38" s="39" t="s">
        <v>1331</v>
      </c>
      <c r="N38" s="32" t="s">
        <v>1332</v>
      </c>
      <c r="O38" s="33" t="s">
        <v>1333</v>
      </c>
      <c r="P38" s="33" t="s">
        <v>1334</v>
      </c>
      <c r="Q38" s="32" t="s">
        <v>48</v>
      </c>
      <c r="R38" s="34"/>
      <c r="S38" s="32" t="s">
        <v>48</v>
      </c>
      <c r="T38" s="34"/>
      <c r="U38" s="33" t="s">
        <v>1335</v>
      </c>
      <c r="V38" s="32" t="s">
        <v>1336</v>
      </c>
      <c r="W38" s="34"/>
      <c r="X38" s="32">
        <v>10</v>
      </c>
      <c r="Y38" s="32">
        <v>1</v>
      </c>
      <c r="Z38" s="32">
        <v>6</v>
      </c>
      <c r="AA38" s="32">
        <v>3</v>
      </c>
      <c r="AB38" s="32">
        <v>0</v>
      </c>
      <c r="AC38" s="32">
        <f t="shared" si="9"/>
        <v>5</v>
      </c>
      <c r="AD38" s="32">
        <f t="shared" si="10"/>
        <v>0</v>
      </c>
      <c r="AE38" s="32">
        <f t="shared" si="11"/>
        <v>25</v>
      </c>
      <c r="AF38" s="32" t="s">
        <v>53</v>
      </c>
    </row>
    <row r="39" spans="1:32" x14ac:dyDescent="0.2">
      <c r="A39" s="32" t="s">
        <v>618</v>
      </c>
      <c r="B39" s="32" t="s">
        <v>106</v>
      </c>
      <c r="C39" s="32" t="s">
        <v>619</v>
      </c>
      <c r="D39" s="32" t="s">
        <v>620</v>
      </c>
      <c r="E39" s="32" t="s">
        <v>621</v>
      </c>
      <c r="F39" s="32" t="s">
        <v>622</v>
      </c>
      <c r="G39" s="32" t="s">
        <v>623</v>
      </c>
      <c r="H39" s="32" t="s">
        <v>39</v>
      </c>
      <c r="I39" s="32" t="s">
        <v>624</v>
      </c>
      <c r="J39" s="32" t="s">
        <v>625</v>
      </c>
      <c r="K39" s="32" t="s">
        <v>626</v>
      </c>
      <c r="L39" s="32" t="s">
        <v>627</v>
      </c>
      <c r="M39" s="32" t="s">
        <v>628</v>
      </c>
      <c r="N39" s="32" t="s">
        <v>629</v>
      </c>
      <c r="O39" s="33" t="s">
        <v>630</v>
      </c>
      <c r="P39" s="33" t="s">
        <v>631</v>
      </c>
      <c r="Q39" s="32" t="s">
        <v>48</v>
      </c>
      <c r="R39" s="34"/>
      <c r="S39" s="32" t="s">
        <v>48</v>
      </c>
      <c r="T39" s="34"/>
      <c r="U39" s="33" t="s">
        <v>632</v>
      </c>
      <c r="V39" s="32" t="s">
        <v>633</v>
      </c>
      <c r="W39" s="32" t="s">
        <v>633</v>
      </c>
      <c r="X39" s="32">
        <v>5</v>
      </c>
      <c r="Y39" s="32">
        <v>3</v>
      </c>
      <c r="Z39" s="32">
        <v>8</v>
      </c>
      <c r="AA39" s="32">
        <v>4</v>
      </c>
      <c r="AB39" s="32">
        <v>8</v>
      </c>
      <c r="AC39" s="38">
        <f t="shared" si="9"/>
        <v>5</v>
      </c>
      <c r="AD39" s="38">
        <f t="shared" si="10"/>
        <v>0</v>
      </c>
      <c r="AE39" s="32">
        <f t="shared" si="11"/>
        <v>33</v>
      </c>
      <c r="AF39" s="32" t="s">
        <v>634</v>
      </c>
    </row>
  </sheetData>
  <hyperlinks>
    <hyperlink ref="T1" r:id="rId1" xr:uid="{00000000-0004-0000-0200-000000000000}"/>
    <hyperlink ref="O3" r:id="rId2" xr:uid="{00000000-0004-0000-0200-000001000000}"/>
    <hyperlink ref="P3" r:id="rId3" xr:uid="{00000000-0004-0000-0200-000002000000}"/>
    <hyperlink ref="U3" r:id="rId4" xr:uid="{00000000-0004-0000-0200-000003000000}"/>
    <hyperlink ref="O4" r:id="rId5" xr:uid="{00000000-0004-0000-0200-000004000000}"/>
    <hyperlink ref="P4" r:id="rId6" xr:uid="{00000000-0004-0000-0200-000005000000}"/>
    <hyperlink ref="U4" r:id="rId7" xr:uid="{00000000-0004-0000-0200-000006000000}"/>
    <hyperlink ref="O5" r:id="rId8" xr:uid="{00000000-0004-0000-0200-000007000000}"/>
    <hyperlink ref="P5" r:id="rId9" xr:uid="{00000000-0004-0000-0200-000008000000}"/>
    <hyperlink ref="U5" r:id="rId10" xr:uid="{00000000-0004-0000-0200-000009000000}"/>
    <hyperlink ref="O6" r:id="rId11" xr:uid="{00000000-0004-0000-0200-00000A000000}"/>
    <hyperlink ref="P6" r:id="rId12" xr:uid="{00000000-0004-0000-0200-00000B000000}"/>
    <hyperlink ref="U6" r:id="rId13" xr:uid="{00000000-0004-0000-0200-00000C000000}"/>
    <hyperlink ref="O7" r:id="rId14" xr:uid="{00000000-0004-0000-0200-00000D000000}"/>
    <hyperlink ref="P7" r:id="rId15" xr:uid="{00000000-0004-0000-0200-00000E000000}"/>
    <hyperlink ref="U7" r:id="rId16" xr:uid="{00000000-0004-0000-0200-00000F000000}"/>
    <hyperlink ref="O8" r:id="rId17" xr:uid="{00000000-0004-0000-0200-000010000000}"/>
    <hyperlink ref="P8" r:id="rId18" xr:uid="{00000000-0004-0000-0200-000011000000}"/>
    <hyperlink ref="U8" r:id="rId19" xr:uid="{00000000-0004-0000-0200-000012000000}"/>
    <hyperlink ref="O9" r:id="rId20" xr:uid="{00000000-0004-0000-0200-000013000000}"/>
    <hyperlink ref="P9" r:id="rId21" xr:uid="{00000000-0004-0000-0200-000014000000}"/>
    <hyperlink ref="U9" r:id="rId22" xr:uid="{00000000-0004-0000-0200-000015000000}"/>
    <hyperlink ref="O10" r:id="rId23" xr:uid="{00000000-0004-0000-0200-000016000000}"/>
    <hyperlink ref="P10" r:id="rId24" xr:uid="{00000000-0004-0000-0200-000017000000}"/>
    <hyperlink ref="U10" r:id="rId25" xr:uid="{00000000-0004-0000-0200-000018000000}"/>
    <hyperlink ref="O11" r:id="rId26" xr:uid="{00000000-0004-0000-0200-000019000000}"/>
    <hyperlink ref="P11" r:id="rId27" xr:uid="{00000000-0004-0000-0200-00001A000000}"/>
    <hyperlink ref="U11" r:id="rId28" xr:uid="{00000000-0004-0000-0200-00001B000000}"/>
    <hyperlink ref="O12" r:id="rId29" xr:uid="{00000000-0004-0000-0200-00001C000000}"/>
    <hyperlink ref="P12" r:id="rId30" xr:uid="{00000000-0004-0000-0200-00001D000000}"/>
    <hyperlink ref="U12" r:id="rId31" xr:uid="{00000000-0004-0000-0200-00001E000000}"/>
    <hyperlink ref="O13" r:id="rId32" xr:uid="{00000000-0004-0000-0200-00001F000000}"/>
    <hyperlink ref="P13" r:id="rId33" xr:uid="{00000000-0004-0000-0200-000020000000}"/>
    <hyperlink ref="U13" r:id="rId34" xr:uid="{00000000-0004-0000-0200-000021000000}"/>
    <hyperlink ref="O14" r:id="rId35" xr:uid="{00000000-0004-0000-0200-000022000000}"/>
    <hyperlink ref="P14" r:id="rId36" xr:uid="{00000000-0004-0000-0200-000023000000}"/>
    <hyperlink ref="U14" r:id="rId37" xr:uid="{00000000-0004-0000-0200-000024000000}"/>
    <hyperlink ref="O15" r:id="rId38" xr:uid="{00000000-0004-0000-0200-000025000000}"/>
    <hyperlink ref="P15" r:id="rId39" xr:uid="{00000000-0004-0000-0200-000026000000}"/>
    <hyperlink ref="U15" r:id="rId40" xr:uid="{00000000-0004-0000-0200-000027000000}"/>
    <hyperlink ref="O16" r:id="rId41" xr:uid="{00000000-0004-0000-0200-000028000000}"/>
    <hyperlink ref="P16" r:id="rId42" xr:uid="{00000000-0004-0000-0200-000029000000}"/>
    <hyperlink ref="U16" r:id="rId43" xr:uid="{00000000-0004-0000-0200-00002A000000}"/>
    <hyperlink ref="O17" r:id="rId44" xr:uid="{00000000-0004-0000-0200-00002B000000}"/>
    <hyperlink ref="P17" r:id="rId45" xr:uid="{00000000-0004-0000-0200-00002C000000}"/>
    <hyperlink ref="U17" r:id="rId46" xr:uid="{00000000-0004-0000-0200-00002D000000}"/>
    <hyperlink ref="O18" r:id="rId47" xr:uid="{00000000-0004-0000-0200-00002E000000}"/>
    <hyperlink ref="P18" r:id="rId48" xr:uid="{00000000-0004-0000-0200-00002F000000}"/>
    <hyperlink ref="U18" r:id="rId49" xr:uid="{00000000-0004-0000-0200-000030000000}"/>
    <hyperlink ref="O19" r:id="rId50" xr:uid="{00000000-0004-0000-0200-000031000000}"/>
    <hyperlink ref="P19" r:id="rId51" xr:uid="{00000000-0004-0000-0200-000032000000}"/>
    <hyperlink ref="U19" r:id="rId52" xr:uid="{00000000-0004-0000-0200-000033000000}"/>
    <hyperlink ref="O20" r:id="rId53" xr:uid="{00000000-0004-0000-0200-000034000000}"/>
    <hyperlink ref="P20" r:id="rId54" xr:uid="{00000000-0004-0000-0200-000035000000}"/>
    <hyperlink ref="U20" r:id="rId55" xr:uid="{00000000-0004-0000-0200-000036000000}"/>
    <hyperlink ref="O21" r:id="rId56" xr:uid="{00000000-0004-0000-0200-000037000000}"/>
    <hyperlink ref="P21" r:id="rId57" xr:uid="{00000000-0004-0000-0200-000038000000}"/>
    <hyperlink ref="U21" r:id="rId58" xr:uid="{00000000-0004-0000-0200-000039000000}"/>
    <hyperlink ref="O22" r:id="rId59" xr:uid="{00000000-0004-0000-0200-00003A000000}"/>
    <hyperlink ref="P22" r:id="rId60" xr:uid="{00000000-0004-0000-0200-00003B000000}"/>
    <hyperlink ref="U22" r:id="rId61" xr:uid="{00000000-0004-0000-0200-00003C000000}"/>
    <hyperlink ref="O24" r:id="rId62" xr:uid="{00000000-0004-0000-0200-00003D000000}"/>
    <hyperlink ref="P24" r:id="rId63" xr:uid="{00000000-0004-0000-0200-00003E000000}"/>
    <hyperlink ref="U24" r:id="rId64" xr:uid="{00000000-0004-0000-0200-00003F000000}"/>
    <hyperlink ref="O25" r:id="rId65" xr:uid="{00000000-0004-0000-0200-000040000000}"/>
    <hyperlink ref="P25" r:id="rId66" xr:uid="{00000000-0004-0000-0200-000041000000}"/>
    <hyperlink ref="U25" r:id="rId67" xr:uid="{00000000-0004-0000-0200-000042000000}"/>
    <hyperlink ref="O28" r:id="rId68" xr:uid="{00000000-0004-0000-0200-000043000000}"/>
    <hyperlink ref="P28" r:id="rId69" xr:uid="{00000000-0004-0000-0200-000044000000}"/>
    <hyperlink ref="U28" r:id="rId70" xr:uid="{00000000-0004-0000-0200-000045000000}"/>
    <hyperlink ref="O29" r:id="rId71" xr:uid="{00000000-0004-0000-0200-000046000000}"/>
    <hyperlink ref="P29" r:id="rId72" xr:uid="{00000000-0004-0000-0200-000047000000}"/>
    <hyperlink ref="U29" r:id="rId73" xr:uid="{00000000-0004-0000-0200-000048000000}"/>
    <hyperlink ref="O32" r:id="rId74" xr:uid="{00000000-0004-0000-0200-000049000000}"/>
    <hyperlink ref="P32" r:id="rId75" xr:uid="{00000000-0004-0000-0200-00004A000000}"/>
    <hyperlink ref="U32" r:id="rId76" xr:uid="{00000000-0004-0000-0200-00004B000000}"/>
    <hyperlink ref="O33" r:id="rId77" xr:uid="{00000000-0004-0000-0200-00004C000000}"/>
    <hyperlink ref="P33" r:id="rId78" xr:uid="{00000000-0004-0000-0200-00004D000000}"/>
    <hyperlink ref="U33" r:id="rId79" xr:uid="{00000000-0004-0000-0200-00004E000000}"/>
    <hyperlink ref="O34" r:id="rId80" xr:uid="{00000000-0004-0000-0200-00004F000000}"/>
    <hyperlink ref="P34" r:id="rId81" xr:uid="{00000000-0004-0000-0200-000050000000}"/>
    <hyperlink ref="U34" r:id="rId82" xr:uid="{00000000-0004-0000-0200-000051000000}"/>
    <hyperlink ref="O35" r:id="rId83" xr:uid="{00000000-0004-0000-0200-000052000000}"/>
    <hyperlink ref="P35" r:id="rId84" xr:uid="{00000000-0004-0000-0200-000053000000}"/>
    <hyperlink ref="U35" r:id="rId85" xr:uid="{00000000-0004-0000-0200-000054000000}"/>
    <hyperlink ref="O36" r:id="rId86" xr:uid="{00000000-0004-0000-0200-000055000000}"/>
    <hyperlink ref="P36" r:id="rId87" xr:uid="{00000000-0004-0000-0200-000056000000}"/>
    <hyperlink ref="U36" r:id="rId88" xr:uid="{00000000-0004-0000-0200-000057000000}"/>
    <hyperlink ref="O37" r:id="rId89" xr:uid="{00000000-0004-0000-0200-000058000000}"/>
    <hyperlink ref="P37" r:id="rId90" xr:uid="{00000000-0004-0000-0200-000059000000}"/>
    <hyperlink ref="U37" r:id="rId91" xr:uid="{00000000-0004-0000-0200-00005A000000}"/>
    <hyperlink ref="O38" r:id="rId92" xr:uid="{00000000-0004-0000-0200-00005B000000}"/>
    <hyperlink ref="P38" r:id="rId93" xr:uid="{00000000-0004-0000-0200-00005C000000}"/>
    <hyperlink ref="U38" r:id="rId94" xr:uid="{00000000-0004-0000-0200-00005D000000}"/>
    <hyperlink ref="O39" r:id="rId95" xr:uid="{00000000-0004-0000-0200-00005E000000}"/>
    <hyperlink ref="P39" r:id="rId96" xr:uid="{00000000-0004-0000-0200-00005F000000}"/>
    <hyperlink ref="U39" r:id="rId97" xr:uid="{00000000-0004-0000-0200-00006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F32"/>
  <sheetViews>
    <sheetView tabSelected="1" topLeftCell="A4" workbookViewId="0">
      <selection activeCell="E25" sqref="E25"/>
    </sheetView>
  </sheetViews>
  <sheetFormatPr baseColWidth="10" defaultColWidth="14.5" defaultRowHeight="15" customHeight="1" x14ac:dyDescent="0.2"/>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1" t="s">
        <v>1995</v>
      </c>
      <c r="U1" s="1" t="s">
        <v>20</v>
      </c>
      <c r="V1" s="2" t="s">
        <v>21</v>
      </c>
      <c r="W1" s="2" t="s">
        <v>22</v>
      </c>
      <c r="X1" s="2" t="s">
        <v>23</v>
      </c>
      <c r="Y1" s="2" t="s">
        <v>24</v>
      </c>
      <c r="Z1" s="2" t="s">
        <v>25</v>
      </c>
      <c r="AA1" s="2" t="s">
        <v>26</v>
      </c>
      <c r="AB1" s="2" t="s">
        <v>27</v>
      </c>
      <c r="AC1" s="1" t="s">
        <v>28</v>
      </c>
      <c r="AD1" s="2" t="s">
        <v>29</v>
      </c>
      <c r="AE1" s="2" t="s">
        <v>30</v>
      </c>
      <c r="AF1" s="2" t="s">
        <v>31</v>
      </c>
    </row>
    <row r="2" spans="1:32" s="45" customFormat="1" x14ac:dyDescent="0.2">
      <c r="A2" s="46" t="s">
        <v>1206</v>
      </c>
      <c r="B2" s="46" t="s">
        <v>188</v>
      </c>
      <c r="C2" s="46" t="s">
        <v>1207</v>
      </c>
      <c r="D2" s="46" t="s">
        <v>1208</v>
      </c>
      <c r="E2" s="46" t="s">
        <v>1209</v>
      </c>
      <c r="F2" s="46" t="s">
        <v>1210</v>
      </c>
      <c r="G2" s="46" t="s">
        <v>1211</v>
      </c>
      <c r="H2" s="46" t="s">
        <v>39</v>
      </c>
      <c r="I2" s="46" t="s">
        <v>1212</v>
      </c>
      <c r="J2" s="46" t="s">
        <v>1213</v>
      </c>
      <c r="K2" s="46" t="s">
        <v>1214</v>
      </c>
      <c r="L2" s="46" t="s">
        <v>1215</v>
      </c>
      <c r="M2" s="46" t="s">
        <v>1216</v>
      </c>
      <c r="N2" s="46" t="s">
        <v>1217</v>
      </c>
      <c r="O2" s="47" t="s">
        <v>1218</v>
      </c>
      <c r="P2" s="47" t="s">
        <v>1219</v>
      </c>
      <c r="Q2" s="46" t="s">
        <v>48</v>
      </c>
      <c r="R2" s="46" t="s">
        <v>1220</v>
      </c>
      <c r="S2" s="46" t="s">
        <v>49</v>
      </c>
      <c r="T2" s="46" t="s">
        <v>1221</v>
      </c>
      <c r="U2" s="47" t="s">
        <v>1222</v>
      </c>
      <c r="V2" s="46" t="s">
        <v>1223</v>
      </c>
      <c r="W2" s="46" t="s">
        <v>1224</v>
      </c>
      <c r="X2" s="46">
        <v>25</v>
      </c>
      <c r="Y2" s="46">
        <v>2</v>
      </c>
      <c r="Z2" s="46">
        <v>7</v>
      </c>
      <c r="AA2" s="46">
        <v>3</v>
      </c>
      <c r="AB2" s="46">
        <v>4</v>
      </c>
      <c r="AC2" s="46">
        <f t="shared" ref="AC2:AC21" si="0">IF(B2="Ghana",0,5)</f>
        <v>5</v>
      </c>
      <c r="AD2" s="46">
        <f t="shared" ref="AD2:AD21" si="1">IF(H2="Female",5,0)</f>
        <v>0</v>
      </c>
      <c r="AE2" s="46">
        <f t="shared" ref="AE2:AE21" si="2">SUM(X2:AD2)</f>
        <v>46</v>
      </c>
      <c r="AF2" s="46" t="s">
        <v>535</v>
      </c>
    </row>
    <row r="3" spans="1:32" s="45" customFormat="1" x14ac:dyDescent="0.2">
      <c r="A3" s="46" t="s">
        <v>1611</v>
      </c>
      <c r="B3" s="46" t="s">
        <v>1985</v>
      </c>
      <c r="C3" s="46" t="s">
        <v>1612</v>
      </c>
      <c r="D3" s="46" t="s">
        <v>1613</v>
      </c>
      <c r="E3" s="48"/>
      <c r="F3" s="46" t="s">
        <v>1614</v>
      </c>
      <c r="G3" s="46" t="s">
        <v>1615</v>
      </c>
      <c r="H3" s="46" t="s">
        <v>39</v>
      </c>
      <c r="I3" s="46" t="s">
        <v>1616</v>
      </c>
      <c r="J3" s="46" t="s">
        <v>1617</v>
      </c>
      <c r="K3" s="46" t="s">
        <v>1618</v>
      </c>
      <c r="L3" s="46" t="s">
        <v>1619</v>
      </c>
      <c r="M3" s="46" t="s">
        <v>1620</v>
      </c>
      <c r="N3" s="46" t="s">
        <v>1621</v>
      </c>
      <c r="O3" s="47" t="s">
        <v>1622</v>
      </c>
      <c r="P3" s="47" t="s">
        <v>1623</v>
      </c>
      <c r="Q3" s="46" t="s">
        <v>49</v>
      </c>
      <c r="R3" s="48"/>
      <c r="S3" s="46" t="s">
        <v>48</v>
      </c>
      <c r="T3" s="48"/>
      <c r="U3" s="47" t="s">
        <v>1624</v>
      </c>
      <c r="V3" s="46" t="s">
        <v>1625</v>
      </c>
      <c r="W3" s="46" t="s">
        <v>1625</v>
      </c>
      <c r="X3" s="46">
        <v>25</v>
      </c>
      <c r="Y3" s="46">
        <v>0</v>
      </c>
      <c r="Z3" s="46">
        <v>5</v>
      </c>
      <c r="AA3" s="46">
        <v>4</v>
      </c>
      <c r="AB3" s="46">
        <v>4</v>
      </c>
      <c r="AC3" s="46">
        <f t="shared" si="0"/>
        <v>5</v>
      </c>
      <c r="AD3" s="46">
        <f t="shared" si="1"/>
        <v>0</v>
      </c>
      <c r="AE3" s="46">
        <f t="shared" si="2"/>
        <v>43</v>
      </c>
      <c r="AF3" s="46" t="s">
        <v>535</v>
      </c>
    </row>
    <row r="4" spans="1:32" s="45" customFormat="1" ht="17" customHeight="1" x14ac:dyDescent="0.2">
      <c r="A4" s="46" t="s">
        <v>1113</v>
      </c>
      <c r="B4" s="46" t="s">
        <v>55</v>
      </c>
      <c r="C4" s="46" t="s">
        <v>1114</v>
      </c>
      <c r="D4" s="46" t="s">
        <v>1115</v>
      </c>
      <c r="E4" s="46" t="s">
        <v>1116</v>
      </c>
      <c r="F4" s="46" t="s">
        <v>1117</v>
      </c>
      <c r="G4" s="46" t="s">
        <v>1118</v>
      </c>
      <c r="H4" s="46" t="s">
        <v>39</v>
      </c>
      <c r="I4" s="46" t="s">
        <v>377</v>
      </c>
      <c r="J4" s="46" t="s">
        <v>1119</v>
      </c>
      <c r="K4" s="49" t="s">
        <v>1120</v>
      </c>
      <c r="L4" s="46" t="s">
        <v>1121</v>
      </c>
      <c r="M4" s="46" t="s">
        <v>1122</v>
      </c>
      <c r="N4" s="46" t="s">
        <v>1123</v>
      </c>
      <c r="O4" s="47" t="s">
        <v>1124</v>
      </c>
      <c r="P4" s="47" t="s">
        <v>1125</v>
      </c>
      <c r="Q4" s="46" t="s">
        <v>48</v>
      </c>
      <c r="R4" s="48"/>
      <c r="S4" s="46" t="s">
        <v>49</v>
      </c>
      <c r="T4" s="48"/>
      <c r="U4" s="47" t="s">
        <v>1126</v>
      </c>
      <c r="V4" s="46" t="s">
        <v>1127</v>
      </c>
      <c r="W4" s="48"/>
      <c r="X4" s="46">
        <v>25</v>
      </c>
      <c r="Y4" s="48"/>
      <c r="Z4" s="48"/>
      <c r="AA4" s="48"/>
      <c r="AB4" s="48"/>
      <c r="AC4" s="46">
        <f t="shared" si="0"/>
        <v>0</v>
      </c>
      <c r="AD4" s="46">
        <f t="shared" si="1"/>
        <v>0</v>
      </c>
      <c r="AE4" s="46">
        <f t="shared" si="2"/>
        <v>25</v>
      </c>
      <c r="AF4" s="48"/>
    </row>
    <row r="5" spans="1:32" s="45" customFormat="1" x14ac:dyDescent="0.2">
      <c r="A5" s="46" t="s">
        <v>203</v>
      </c>
      <c r="B5" s="46" t="s">
        <v>204</v>
      </c>
      <c r="C5" s="46" t="s">
        <v>205</v>
      </c>
      <c r="D5" s="46" t="s">
        <v>206</v>
      </c>
      <c r="E5" s="46" t="s">
        <v>207</v>
      </c>
      <c r="F5" s="46" t="s">
        <v>208</v>
      </c>
      <c r="G5" s="46" t="s">
        <v>209</v>
      </c>
      <c r="H5" s="46" t="s">
        <v>39</v>
      </c>
      <c r="I5" s="46" t="s">
        <v>210</v>
      </c>
      <c r="J5" s="46" t="s">
        <v>211</v>
      </c>
      <c r="K5" s="46" t="s">
        <v>212</v>
      </c>
      <c r="L5" s="46" t="s">
        <v>213</v>
      </c>
      <c r="M5" s="46" t="s">
        <v>214</v>
      </c>
      <c r="N5" s="46" t="s">
        <v>215</v>
      </c>
      <c r="O5" s="47" t="s">
        <v>216</v>
      </c>
      <c r="P5" s="47" t="s">
        <v>217</v>
      </c>
      <c r="Q5" s="46" t="s">
        <v>48</v>
      </c>
      <c r="R5" s="46" t="s">
        <v>48</v>
      </c>
      <c r="S5" s="46" t="s">
        <v>48</v>
      </c>
      <c r="T5" s="46" t="s">
        <v>48</v>
      </c>
      <c r="U5" s="47" t="s">
        <v>218</v>
      </c>
      <c r="V5" s="46" t="s">
        <v>219</v>
      </c>
      <c r="W5" s="46" t="s">
        <v>220</v>
      </c>
      <c r="X5" s="46">
        <v>20</v>
      </c>
      <c r="Y5" s="46">
        <v>2</v>
      </c>
      <c r="Z5" s="46">
        <v>7</v>
      </c>
      <c r="AA5" s="46">
        <v>4</v>
      </c>
      <c r="AB5" s="46">
        <v>6</v>
      </c>
      <c r="AC5" s="46">
        <f t="shared" si="0"/>
        <v>5</v>
      </c>
      <c r="AD5" s="46">
        <f t="shared" si="1"/>
        <v>0</v>
      </c>
      <c r="AE5" s="46">
        <f t="shared" si="2"/>
        <v>44</v>
      </c>
      <c r="AF5" s="46" t="s">
        <v>221</v>
      </c>
    </row>
    <row r="6" spans="1:32" s="45" customFormat="1" x14ac:dyDescent="0.2">
      <c r="A6" s="46" t="s">
        <v>876</v>
      </c>
      <c r="B6" s="46" t="s">
        <v>1986</v>
      </c>
      <c r="C6" s="46" t="s">
        <v>877</v>
      </c>
      <c r="D6" s="46" t="s">
        <v>878</v>
      </c>
      <c r="E6" s="46" t="s">
        <v>879</v>
      </c>
      <c r="F6" s="46" t="s">
        <v>880</v>
      </c>
      <c r="G6" s="46" t="s">
        <v>881</v>
      </c>
      <c r="H6" s="46" t="s">
        <v>39</v>
      </c>
      <c r="I6" s="46" t="s">
        <v>754</v>
      </c>
      <c r="J6" s="46" t="s">
        <v>882</v>
      </c>
      <c r="K6" s="46" t="s">
        <v>883</v>
      </c>
      <c r="L6" s="46" t="s">
        <v>884</v>
      </c>
      <c r="M6" s="46" t="s">
        <v>885</v>
      </c>
      <c r="N6" s="46" t="s">
        <v>886</v>
      </c>
      <c r="O6" s="47" t="s">
        <v>887</v>
      </c>
      <c r="P6" s="47" t="s">
        <v>888</v>
      </c>
      <c r="Q6" s="46" t="s">
        <v>48</v>
      </c>
      <c r="R6" s="48"/>
      <c r="S6" s="46" t="s">
        <v>48</v>
      </c>
      <c r="T6" s="48"/>
      <c r="U6" s="47" t="s">
        <v>889</v>
      </c>
      <c r="V6" s="46" t="s">
        <v>890</v>
      </c>
      <c r="W6" s="46" t="s">
        <v>890</v>
      </c>
      <c r="X6" s="46">
        <v>20</v>
      </c>
      <c r="Y6" s="46">
        <v>1</v>
      </c>
      <c r="Z6" s="46">
        <v>7</v>
      </c>
      <c r="AA6" s="46">
        <v>3</v>
      </c>
      <c r="AB6" s="46">
        <v>2</v>
      </c>
      <c r="AC6" s="46">
        <f t="shared" si="0"/>
        <v>5</v>
      </c>
      <c r="AD6" s="46">
        <f t="shared" si="1"/>
        <v>0</v>
      </c>
      <c r="AE6" s="46">
        <f t="shared" si="2"/>
        <v>38</v>
      </c>
      <c r="AF6" s="46" t="s">
        <v>535</v>
      </c>
    </row>
    <row r="7" spans="1:32" s="45" customFormat="1" x14ac:dyDescent="0.2">
      <c r="A7" s="46" t="s">
        <v>1355</v>
      </c>
      <c r="B7" s="46" t="s">
        <v>1987</v>
      </c>
      <c r="C7" s="46" t="s">
        <v>1356</v>
      </c>
      <c r="D7" s="46" t="s">
        <v>1357</v>
      </c>
      <c r="E7" s="46" t="s">
        <v>1358</v>
      </c>
      <c r="F7" s="46" t="s">
        <v>1359</v>
      </c>
      <c r="G7" s="46" t="s">
        <v>1360</v>
      </c>
      <c r="H7" s="46" t="s">
        <v>94</v>
      </c>
      <c r="I7" s="46" t="s">
        <v>1361</v>
      </c>
      <c r="J7" s="46" t="s">
        <v>1362</v>
      </c>
      <c r="K7" s="46" t="s">
        <v>1363</v>
      </c>
      <c r="L7" s="46" t="s">
        <v>1364</v>
      </c>
      <c r="M7" s="46" t="s">
        <v>1365</v>
      </c>
      <c r="N7" s="46" t="s">
        <v>1366</v>
      </c>
      <c r="O7" s="47" t="s">
        <v>1367</v>
      </c>
      <c r="P7" s="47" t="s">
        <v>1368</v>
      </c>
      <c r="Q7" s="46" t="s">
        <v>48</v>
      </c>
      <c r="R7" s="48"/>
      <c r="S7" s="46" t="s">
        <v>49</v>
      </c>
      <c r="T7" s="48"/>
      <c r="U7" s="47" t="s">
        <v>1369</v>
      </c>
      <c r="V7" s="46" t="s">
        <v>1370</v>
      </c>
      <c r="W7" s="46" t="s">
        <v>1370</v>
      </c>
      <c r="X7" s="46">
        <v>20</v>
      </c>
      <c r="Y7" s="46">
        <v>1</v>
      </c>
      <c r="Z7" s="46">
        <v>5</v>
      </c>
      <c r="AA7" s="46">
        <v>3</v>
      </c>
      <c r="AB7" s="46">
        <v>4</v>
      </c>
      <c r="AC7" s="46">
        <f t="shared" si="0"/>
        <v>5</v>
      </c>
      <c r="AD7" s="46">
        <f t="shared" si="1"/>
        <v>5</v>
      </c>
      <c r="AE7" s="46">
        <f t="shared" si="2"/>
        <v>43</v>
      </c>
      <c r="AF7" s="46" t="s">
        <v>535</v>
      </c>
    </row>
    <row r="8" spans="1:32" s="45" customFormat="1" x14ac:dyDescent="0.2">
      <c r="A8" s="46" t="s">
        <v>1484</v>
      </c>
      <c r="B8" s="46" t="s">
        <v>55</v>
      </c>
      <c r="C8" s="46" t="s">
        <v>1485</v>
      </c>
      <c r="D8" s="46" t="s">
        <v>1486</v>
      </c>
      <c r="E8" s="48"/>
      <c r="F8" s="46" t="s">
        <v>1487</v>
      </c>
      <c r="G8" s="46" t="s">
        <v>1488</v>
      </c>
      <c r="H8" s="46" t="s">
        <v>39</v>
      </c>
      <c r="I8" s="46" t="s">
        <v>1489</v>
      </c>
      <c r="J8" s="46" t="s">
        <v>1490</v>
      </c>
      <c r="K8" s="46" t="s">
        <v>1491</v>
      </c>
      <c r="L8" s="46" t="s">
        <v>1492</v>
      </c>
      <c r="M8" s="46" t="s">
        <v>1493</v>
      </c>
      <c r="N8" s="46" t="s">
        <v>1494</v>
      </c>
      <c r="O8" s="47" t="s">
        <v>1495</v>
      </c>
      <c r="P8" s="47" t="s">
        <v>1496</v>
      </c>
      <c r="Q8" s="46" t="s">
        <v>48</v>
      </c>
      <c r="R8" s="48"/>
      <c r="S8" s="46" t="s">
        <v>49</v>
      </c>
      <c r="T8" s="48"/>
      <c r="U8" s="47" t="s">
        <v>1497</v>
      </c>
      <c r="V8" s="46" t="s">
        <v>1498</v>
      </c>
      <c r="W8" s="46" t="s">
        <v>1499</v>
      </c>
      <c r="X8" s="46">
        <v>20</v>
      </c>
      <c r="Y8" s="46">
        <v>1</v>
      </c>
      <c r="Z8" s="46">
        <v>6</v>
      </c>
      <c r="AA8" s="46">
        <v>4</v>
      </c>
      <c r="AB8" s="46">
        <v>4</v>
      </c>
      <c r="AC8" s="46">
        <f t="shared" si="0"/>
        <v>0</v>
      </c>
      <c r="AD8" s="46">
        <f t="shared" si="1"/>
        <v>0</v>
      </c>
      <c r="AE8" s="46">
        <f t="shared" si="2"/>
        <v>35</v>
      </c>
      <c r="AF8" s="46" t="s">
        <v>535</v>
      </c>
    </row>
    <row r="9" spans="1:32" s="45" customFormat="1" x14ac:dyDescent="0.2">
      <c r="A9" s="46" t="s">
        <v>1097</v>
      </c>
      <c r="B9" s="46" t="s">
        <v>55</v>
      </c>
      <c r="C9" s="46" t="s">
        <v>1098</v>
      </c>
      <c r="D9" s="46" t="s">
        <v>1099</v>
      </c>
      <c r="E9" s="46" t="s">
        <v>1100</v>
      </c>
      <c r="F9" s="46" t="s">
        <v>1101</v>
      </c>
      <c r="G9" s="46" t="s">
        <v>1102</v>
      </c>
      <c r="H9" s="46" t="s">
        <v>39</v>
      </c>
      <c r="I9" s="46" t="s">
        <v>1103</v>
      </c>
      <c r="J9" s="46" t="s">
        <v>1104</v>
      </c>
      <c r="K9" s="46" t="s">
        <v>1105</v>
      </c>
      <c r="L9" s="46" t="s">
        <v>1106</v>
      </c>
      <c r="M9" s="46" t="s">
        <v>1107</v>
      </c>
      <c r="N9" s="46" t="s">
        <v>1108</v>
      </c>
      <c r="O9" s="47" t="s">
        <v>1109</v>
      </c>
      <c r="P9" s="47" t="s">
        <v>1110</v>
      </c>
      <c r="Q9" s="46" t="s">
        <v>48</v>
      </c>
      <c r="R9" s="48"/>
      <c r="S9" s="46" t="s">
        <v>48</v>
      </c>
      <c r="T9" s="48"/>
      <c r="U9" s="47" t="s">
        <v>1111</v>
      </c>
      <c r="V9" s="46" t="s">
        <v>1112</v>
      </c>
      <c r="W9" s="46" t="s">
        <v>1112</v>
      </c>
      <c r="X9" s="46">
        <v>20</v>
      </c>
      <c r="Y9" s="46">
        <v>0</v>
      </c>
      <c r="Z9" s="46">
        <v>5</v>
      </c>
      <c r="AA9" s="46">
        <v>2</v>
      </c>
      <c r="AB9" s="46">
        <v>6</v>
      </c>
      <c r="AC9" s="46">
        <f t="shared" si="0"/>
        <v>0</v>
      </c>
      <c r="AD9" s="46">
        <f t="shared" si="1"/>
        <v>0</v>
      </c>
      <c r="AE9" s="46">
        <f t="shared" si="2"/>
        <v>33</v>
      </c>
      <c r="AF9" s="46" t="s">
        <v>1064</v>
      </c>
    </row>
    <row r="10" spans="1:32" s="45" customFormat="1" x14ac:dyDescent="0.2">
      <c r="A10" s="46" t="s">
        <v>812</v>
      </c>
      <c r="B10" s="46" t="s">
        <v>55</v>
      </c>
      <c r="C10" s="46" t="s">
        <v>813</v>
      </c>
      <c r="D10" s="46" t="s">
        <v>814</v>
      </c>
      <c r="E10" s="46" t="s">
        <v>815</v>
      </c>
      <c r="F10" s="46" t="s">
        <v>816</v>
      </c>
      <c r="G10" s="46" t="s">
        <v>817</v>
      </c>
      <c r="H10" s="46" t="s">
        <v>94</v>
      </c>
      <c r="I10" s="46" t="s">
        <v>818</v>
      </c>
      <c r="J10" s="46" t="s">
        <v>819</v>
      </c>
      <c r="K10" s="46" t="s">
        <v>820</v>
      </c>
      <c r="L10" s="46" t="s">
        <v>821</v>
      </c>
      <c r="M10" s="46" t="s">
        <v>822</v>
      </c>
      <c r="N10" s="46" t="s">
        <v>823</v>
      </c>
      <c r="O10" s="47" t="s">
        <v>824</v>
      </c>
      <c r="P10" s="47" t="s">
        <v>825</v>
      </c>
      <c r="Q10" s="46" t="s">
        <v>48</v>
      </c>
      <c r="R10" s="48"/>
      <c r="S10" s="46" t="s">
        <v>48</v>
      </c>
      <c r="T10" s="48"/>
      <c r="U10" s="47" t="s">
        <v>826</v>
      </c>
      <c r="V10" s="46" t="s">
        <v>827</v>
      </c>
      <c r="W10" s="48"/>
      <c r="X10" s="46">
        <v>20</v>
      </c>
      <c r="Y10" s="48"/>
      <c r="Z10" s="48"/>
      <c r="AA10" s="48"/>
      <c r="AB10" s="48"/>
      <c r="AC10" s="46">
        <f t="shared" si="0"/>
        <v>0</v>
      </c>
      <c r="AD10" s="46">
        <f t="shared" si="1"/>
        <v>5</v>
      </c>
      <c r="AE10" s="46">
        <f t="shared" si="2"/>
        <v>25</v>
      </c>
      <c r="AF10" s="48"/>
    </row>
    <row r="11" spans="1:32" s="45" customFormat="1" x14ac:dyDescent="0.2">
      <c r="A11" s="46" t="s">
        <v>917</v>
      </c>
      <c r="B11" s="46" t="s">
        <v>239</v>
      </c>
      <c r="C11" s="46" t="s">
        <v>918</v>
      </c>
      <c r="D11" s="46" t="s">
        <v>919</v>
      </c>
      <c r="E11" s="46" t="s">
        <v>920</v>
      </c>
      <c r="F11" s="46" t="s">
        <v>921</v>
      </c>
      <c r="G11" s="46" t="s">
        <v>922</v>
      </c>
      <c r="H11" s="46" t="s">
        <v>39</v>
      </c>
      <c r="I11" s="46" t="s">
        <v>923</v>
      </c>
      <c r="J11" s="46" t="s">
        <v>924</v>
      </c>
      <c r="K11" s="46" t="s">
        <v>925</v>
      </c>
      <c r="L11" s="46" t="s">
        <v>926</v>
      </c>
      <c r="M11" s="46" t="s">
        <v>927</v>
      </c>
      <c r="N11" s="46" t="s">
        <v>928</v>
      </c>
      <c r="O11" s="47" t="s">
        <v>929</v>
      </c>
      <c r="P11" s="47" t="s">
        <v>930</v>
      </c>
      <c r="Q11" s="46" t="s">
        <v>48</v>
      </c>
      <c r="R11" s="48"/>
      <c r="S11" s="46" t="s">
        <v>48</v>
      </c>
      <c r="T11" s="46" t="s">
        <v>931</v>
      </c>
      <c r="U11" s="47" t="s">
        <v>932</v>
      </c>
      <c r="V11" s="46" t="s">
        <v>933</v>
      </c>
      <c r="W11" s="48"/>
      <c r="X11" s="46">
        <v>20</v>
      </c>
      <c r="Y11" s="48"/>
      <c r="Z11" s="48"/>
      <c r="AA11" s="48"/>
      <c r="AB11" s="48"/>
      <c r="AC11" s="46">
        <f t="shared" si="0"/>
        <v>5</v>
      </c>
      <c r="AD11" s="46">
        <f t="shared" si="1"/>
        <v>0</v>
      </c>
      <c r="AE11" s="46">
        <f t="shared" si="2"/>
        <v>25</v>
      </c>
      <c r="AF11" s="48"/>
    </row>
    <row r="12" spans="1:32" s="45" customFormat="1" x14ac:dyDescent="0.2">
      <c r="A12" s="46" t="s">
        <v>536</v>
      </c>
      <c r="B12" s="46" t="s">
        <v>1988</v>
      </c>
      <c r="C12" s="46" t="s">
        <v>537</v>
      </c>
      <c r="D12" s="46" t="s">
        <v>538</v>
      </c>
      <c r="E12" s="46" t="s">
        <v>539</v>
      </c>
      <c r="F12" s="46" t="s">
        <v>540</v>
      </c>
      <c r="G12" s="46" t="s">
        <v>541</v>
      </c>
      <c r="H12" s="46" t="s">
        <v>94</v>
      </c>
      <c r="I12" s="46" t="s">
        <v>542</v>
      </c>
      <c r="J12" s="46" t="s">
        <v>543</v>
      </c>
      <c r="K12" s="46" t="s">
        <v>544</v>
      </c>
      <c r="L12" s="46" t="s">
        <v>545</v>
      </c>
      <c r="M12" s="46" t="s">
        <v>546</v>
      </c>
      <c r="N12" s="46" t="s">
        <v>547</v>
      </c>
      <c r="O12" s="47" t="s">
        <v>548</v>
      </c>
      <c r="P12" s="47" t="s">
        <v>549</v>
      </c>
      <c r="Q12" s="46" t="s">
        <v>48</v>
      </c>
      <c r="R12" s="46" t="s">
        <v>550</v>
      </c>
      <c r="S12" s="46" t="s">
        <v>49</v>
      </c>
      <c r="T12" s="48"/>
      <c r="U12" s="47" t="s">
        <v>551</v>
      </c>
      <c r="V12" s="46" t="s">
        <v>552</v>
      </c>
      <c r="W12" s="46" t="s">
        <v>553</v>
      </c>
      <c r="X12" s="46">
        <v>15</v>
      </c>
      <c r="Y12" s="46">
        <v>0</v>
      </c>
      <c r="Z12" s="46">
        <v>9</v>
      </c>
      <c r="AA12" s="46">
        <v>4</v>
      </c>
      <c r="AB12" s="46">
        <v>2</v>
      </c>
      <c r="AC12" s="46">
        <f t="shared" si="0"/>
        <v>5</v>
      </c>
      <c r="AD12" s="46">
        <f t="shared" si="1"/>
        <v>5</v>
      </c>
      <c r="AE12" s="46">
        <f t="shared" si="2"/>
        <v>40</v>
      </c>
      <c r="AF12" s="46" t="s">
        <v>355</v>
      </c>
    </row>
    <row r="13" spans="1:32" s="45" customFormat="1" x14ac:dyDescent="0.2">
      <c r="A13" s="46" t="s">
        <v>1275</v>
      </c>
      <c r="B13" s="46" t="s">
        <v>1989</v>
      </c>
      <c r="C13" s="46" t="s">
        <v>1276</v>
      </c>
      <c r="D13" s="46" t="s">
        <v>556</v>
      </c>
      <c r="E13" s="46" t="s">
        <v>1277</v>
      </c>
      <c r="F13" s="46" t="s">
        <v>1278</v>
      </c>
      <c r="G13" s="46" t="s">
        <v>1279</v>
      </c>
      <c r="H13" s="46" t="s">
        <v>39</v>
      </c>
      <c r="I13" s="46" t="s">
        <v>1280</v>
      </c>
      <c r="J13" s="46" t="s">
        <v>1281</v>
      </c>
      <c r="K13" s="46" t="s">
        <v>1282</v>
      </c>
      <c r="L13" s="46" t="s">
        <v>1283</v>
      </c>
      <c r="M13" s="46" t="s">
        <v>1284</v>
      </c>
      <c r="N13" s="46" t="s">
        <v>1285</v>
      </c>
      <c r="O13" s="47" t="s">
        <v>1286</v>
      </c>
      <c r="P13" s="47" t="s">
        <v>1287</v>
      </c>
      <c r="Q13" s="46" t="s">
        <v>48</v>
      </c>
      <c r="R13" s="48"/>
      <c r="S13" s="46" t="s">
        <v>48</v>
      </c>
      <c r="T13" s="48"/>
      <c r="U13" s="47" t="s">
        <v>1288</v>
      </c>
      <c r="V13" s="46" t="s">
        <v>570</v>
      </c>
      <c r="W13" s="46" t="s">
        <v>570</v>
      </c>
      <c r="X13" s="46">
        <v>15</v>
      </c>
      <c r="Y13" s="46">
        <v>1</v>
      </c>
      <c r="Z13" s="46">
        <v>8</v>
      </c>
      <c r="AA13" s="46">
        <v>5</v>
      </c>
      <c r="AB13" s="46">
        <v>4</v>
      </c>
      <c r="AC13" s="46">
        <f t="shared" si="0"/>
        <v>5</v>
      </c>
      <c r="AD13" s="46">
        <f t="shared" si="1"/>
        <v>0</v>
      </c>
      <c r="AE13" s="46">
        <f t="shared" si="2"/>
        <v>38</v>
      </c>
      <c r="AF13" s="46" t="s">
        <v>355</v>
      </c>
    </row>
    <row r="14" spans="1:32" s="45" customFormat="1" x14ac:dyDescent="0.2">
      <c r="A14" s="46" t="s">
        <v>934</v>
      </c>
      <c r="B14" s="46" t="s">
        <v>1985</v>
      </c>
      <c r="C14" s="46" t="s">
        <v>935</v>
      </c>
      <c r="D14" s="46" t="s">
        <v>936</v>
      </c>
      <c r="E14" s="46" t="s">
        <v>937</v>
      </c>
      <c r="F14" s="46" t="s">
        <v>938</v>
      </c>
      <c r="G14" s="46" t="s">
        <v>939</v>
      </c>
      <c r="H14" s="46" t="s">
        <v>39</v>
      </c>
      <c r="I14" s="46" t="s">
        <v>940</v>
      </c>
      <c r="J14" s="46" t="s">
        <v>941</v>
      </c>
      <c r="K14" s="46" t="s">
        <v>942</v>
      </c>
      <c r="L14" s="46" t="s">
        <v>943</v>
      </c>
      <c r="M14" s="46" t="s">
        <v>944</v>
      </c>
      <c r="N14" s="46" t="s">
        <v>945</v>
      </c>
      <c r="O14" s="47" t="s">
        <v>946</v>
      </c>
      <c r="P14" s="47" t="s">
        <v>947</v>
      </c>
      <c r="Q14" s="46" t="s">
        <v>48</v>
      </c>
      <c r="R14" s="46" t="s">
        <v>948</v>
      </c>
      <c r="S14" s="46" t="s">
        <v>48</v>
      </c>
      <c r="T14" s="48"/>
      <c r="U14" s="47" t="s">
        <v>949</v>
      </c>
      <c r="V14" s="46" t="s">
        <v>950</v>
      </c>
      <c r="W14" s="46" t="s">
        <v>950</v>
      </c>
      <c r="X14" s="46">
        <v>15</v>
      </c>
      <c r="Y14" s="46">
        <v>1</v>
      </c>
      <c r="Z14" s="46">
        <v>5</v>
      </c>
      <c r="AA14" s="46">
        <v>4</v>
      </c>
      <c r="AB14" s="46">
        <v>4</v>
      </c>
      <c r="AC14" s="46">
        <f t="shared" si="0"/>
        <v>5</v>
      </c>
      <c r="AD14" s="46">
        <f t="shared" si="1"/>
        <v>0</v>
      </c>
      <c r="AE14" s="46">
        <f t="shared" si="2"/>
        <v>34</v>
      </c>
      <c r="AF14" s="46" t="s">
        <v>355</v>
      </c>
    </row>
    <row r="15" spans="1:32" s="45" customFormat="1" x14ac:dyDescent="0.2">
      <c r="A15" s="46" t="s">
        <v>967</v>
      </c>
      <c r="B15" s="46" t="s">
        <v>968</v>
      </c>
      <c r="C15" s="46" t="s">
        <v>969</v>
      </c>
      <c r="D15" s="46" t="s">
        <v>970</v>
      </c>
      <c r="E15" s="46" t="s">
        <v>971</v>
      </c>
      <c r="F15" s="46" t="s">
        <v>972</v>
      </c>
      <c r="G15" s="46" t="s">
        <v>973</v>
      </c>
      <c r="H15" s="46" t="s">
        <v>39</v>
      </c>
      <c r="I15" s="46" t="s">
        <v>974</v>
      </c>
      <c r="J15" s="46" t="s">
        <v>975</v>
      </c>
      <c r="K15" s="46" t="s">
        <v>976</v>
      </c>
      <c r="L15" s="46" t="s">
        <v>977</v>
      </c>
      <c r="M15" s="46" t="s">
        <v>978</v>
      </c>
      <c r="N15" s="46" t="s">
        <v>979</v>
      </c>
      <c r="O15" s="47" t="s">
        <v>980</v>
      </c>
      <c r="P15" s="47" t="s">
        <v>981</v>
      </c>
      <c r="Q15" s="46" t="s">
        <v>48</v>
      </c>
      <c r="R15" s="48"/>
      <c r="S15" s="46" t="s">
        <v>49</v>
      </c>
      <c r="T15" s="48"/>
      <c r="U15" s="47" t="s">
        <v>982</v>
      </c>
      <c r="V15" s="46" t="s">
        <v>983</v>
      </c>
      <c r="W15" s="46" t="s">
        <v>984</v>
      </c>
      <c r="X15" s="46">
        <v>10</v>
      </c>
      <c r="Y15" s="46">
        <v>1</v>
      </c>
      <c r="Z15" s="46">
        <v>6</v>
      </c>
      <c r="AA15" s="46">
        <v>3</v>
      </c>
      <c r="AB15" s="46">
        <v>2</v>
      </c>
      <c r="AC15" s="46">
        <f t="shared" si="0"/>
        <v>5</v>
      </c>
      <c r="AD15" s="46">
        <f t="shared" si="1"/>
        <v>0</v>
      </c>
      <c r="AE15" s="46">
        <f t="shared" si="2"/>
        <v>27</v>
      </c>
      <c r="AF15" s="46" t="s">
        <v>53</v>
      </c>
    </row>
    <row r="16" spans="1:32" s="45" customFormat="1" x14ac:dyDescent="0.2">
      <c r="A16" s="46" t="s">
        <v>303</v>
      </c>
      <c r="B16" s="46" t="s">
        <v>304</v>
      </c>
      <c r="C16" s="46" t="s">
        <v>305</v>
      </c>
      <c r="D16" s="46" t="s">
        <v>306</v>
      </c>
      <c r="E16" s="46" t="s">
        <v>307</v>
      </c>
      <c r="F16" s="46" t="s">
        <v>308</v>
      </c>
      <c r="G16" s="46" t="s">
        <v>309</v>
      </c>
      <c r="H16" s="46" t="s">
        <v>94</v>
      </c>
      <c r="I16" s="46" t="s">
        <v>310</v>
      </c>
      <c r="J16" s="46" t="s">
        <v>311</v>
      </c>
      <c r="K16" s="46" t="s">
        <v>312</v>
      </c>
      <c r="L16" s="46" t="s">
        <v>313</v>
      </c>
      <c r="M16" s="46" t="s">
        <v>314</v>
      </c>
      <c r="N16" s="46" t="s">
        <v>315</v>
      </c>
      <c r="O16" s="47" t="s">
        <v>316</v>
      </c>
      <c r="P16" s="47" t="s">
        <v>317</v>
      </c>
      <c r="Q16" s="46" t="s">
        <v>48</v>
      </c>
      <c r="R16" s="48"/>
      <c r="S16" s="46" t="s">
        <v>49</v>
      </c>
      <c r="T16" s="48"/>
      <c r="U16" s="47" t="s">
        <v>318</v>
      </c>
      <c r="V16" s="46" t="s">
        <v>319</v>
      </c>
      <c r="W16" s="48"/>
      <c r="X16" s="46">
        <v>10</v>
      </c>
      <c r="Y16" s="48"/>
      <c r="Z16" s="48"/>
      <c r="AA16" s="48"/>
      <c r="AB16" s="48"/>
      <c r="AC16" s="46">
        <f t="shared" si="0"/>
        <v>5</v>
      </c>
      <c r="AD16" s="46">
        <f t="shared" si="1"/>
        <v>5</v>
      </c>
      <c r="AE16" s="46">
        <f t="shared" si="2"/>
        <v>20</v>
      </c>
      <c r="AF16" s="48"/>
    </row>
    <row r="17" spans="1:32" s="45" customFormat="1" x14ac:dyDescent="0.2">
      <c r="A17" s="46" t="s">
        <v>1128</v>
      </c>
      <c r="B17" s="46" t="s">
        <v>55</v>
      </c>
      <c r="C17" s="46" t="s">
        <v>1129</v>
      </c>
      <c r="D17" s="46" t="s">
        <v>1130</v>
      </c>
      <c r="E17" s="46" t="s">
        <v>1131</v>
      </c>
      <c r="F17" s="46" t="s">
        <v>1132</v>
      </c>
      <c r="G17" s="46" t="s">
        <v>1133</v>
      </c>
      <c r="H17" s="46" t="s">
        <v>94</v>
      </c>
      <c r="I17" s="46" t="s">
        <v>1134</v>
      </c>
      <c r="J17" s="46" t="s">
        <v>378</v>
      </c>
      <c r="K17" s="46" t="s">
        <v>1135</v>
      </c>
      <c r="L17" s="46" t="s">
        <v>1136</v>
      </c>
      <c r="M17" s="46" t="s">
        <v>1137</v>
      </c>
      <c r="N17" s="46" t="s">
        <v>1138</v>
      </c>
      <c r="O17" s="47" t="s">
        <v>1139</v>
      </c>
      <c r="P17" s="47" t="s">
        <v>1140</v>
      </c>
      <c r="Q17" s="46" t="s">
        <v>48</v>
      </c>
      <c r="R17" s="46" t="s">
        <v>48</v>
      </c>
      <c r="S17" s="46" t="s">
        <v>48</v>
      </c>
      <c r="T17" s="46" t="s">
        <v>48</v>
      </c>
      <c r="U17" s="47" t="s">
        <v>1141</v>
      </c>
      <c r="V17" s="46" t="s">
        <v>1142</v>
      </c>
      <c r="W17" s="48"/>
      <c r="X17" s="46">
        <v>15</v>
      </c>
      <c r="Y17" s="48"/>
      <c r="Z17" s="48"/>
      <c r="AA17" s="48"/>
      <c r="AB17" s="48"/>
      <c r="AC17" s="46">
        <f t="shared" si="0"/>
        <v>0</v>
      </c>
      <c r="AD17" s="46">
        <f t="shared" si="1"/>
        <v>5</v>
      </c>
      <c r="AE17" s="46">
        <f t="shared" si="2"/>
        <v>20</v>
      </c>
      <c r="AF17" s="48"/>
    </row>
    <row r="18" spans="1:32" s="45" customFormat="1" x14ac:dyDescent="0.2">
      <c r="A18" s="46" t="s">
        <v>1835</v>
      </c>
      <c r="B18" s="46" t="s">
        <v>1988</v>
      </c>
      <c r="C18" s="46" t="s">
        <v>1836</v>
      </c>
      <c r="D18" s="46" t="s">
        <v>1837</v>
      </c>
      <c r="E18" s="46" t="s">
        <v>1838</v>
      </c>
      <c r="F18" s="46" t="s">
        <v>1839</v>
      </c>
      <c r="G18" s="46" t="s">
        <v>1840</v>
      </c>
      <c r="H18" s="46" t="s">
        <v>94</v>
      </c>
      <c r="I18" s="46" t="s">
        <v>1841</v>
      </c>
      <c r="J18" s="46" t="s">
        <v>1842</v>
      </c>
      <c r="K18" s="46" t="s">
        <v>1843</v>
      </c>
      <c r="L18" s="46" t="s">
        <v>1844</v>
      </c>
      <c r="M18" s="46" t="s">
        <v>1845</v>
      </c>
      <c r="N18" s="46" t="s">
        <v>1846</v>
      </c>
      <c r="O18" s="47" t="s">
        <v>1847</v>
      </c>
      <c r="P18" s="47" t="s">
        <v>1848</v>
      </c>
      <c r="Q18" s="46" t="s">
        <v>48</v>
      </c>
      <c r="R18" s="48"/>
      <c r="S18" s="46" t="s">
        <v>48</v>
      </c>
      <c r="T18" s="48"/>
      <c r="U18" s="47" t="s">
        <v>1849</v>
      </c>
      <c r="V18" s="46" t="s">
        <v>1850</v>
      </c>
      <c r="W18" s="46" t="s">
        <v>1851</v>
      </c>
      <c r="X18" s="46">
        <v>20</v>
      </c>
      <c r="Y18" s="46">
        <v>1</v>
      </c>
      <c r="Z18" s="46">
        <v>7</v>
      </c>
      <c r="AA18" s="46">
        <v>3</v>
      </c>
      <c r="AB18" s="46">
        <v>4</v>
      </c>
      <c r="AC18" s="46">
        <f t="shared" si="0"/>
        <v>5</v>
      </c>
      <c r="AD18" s="46">
        <f t="shared" si="1"/>
        <v>5</v>
      </c>
      <c r="AE18" s="46">
        <f t="shared" si="2"/>
        <v>45</v>
      </c>
      <c r="AF18" s="46" t="s">
        <v>355</v>
      </c>
    </row>
    <row r="19" spans="1:32" s="45" customFormat="1" ht="19" customHeight="1" x14ac:dyDescent="0.2">
      <c r="A19" s="46" t="s">
        <v>1739</v>
      </c>
      <c r="B19" s="46" t="s">
        <v>55</v>
      </c>
      <c r="C19" s="46" t="s">
        <v>1740</v>
      </c>
      <c r="D19" s="46" t="s">
        <v>1741</v>
      </c>
      <c r="E19" s="46" t="s">
        <v>1742</v>
      </c>
      <c r="F19" s="46" t="s">
        <v>1743</v>
      </c>
      <c r="G19" s="46" t="s">
        <v>1744</v>
      </c>
      <c r="H19" s="46" t="s">
        <v>94</v>
      </c>
      <c r="I19" s="46" t="s">
        <v>850</v>
      </c>
      <c r="J19" s="46" t="s">
        <v>1745</v>
      </c>
      <c r="K19" s="49" t="s">
        <v>1746</v>
      </c>
      <c r="L19" s="46" t="s">
        <v>1747</v>
      </c>
      <c r="M19" s="46" t="s">
        <v>1748</v>
      </c>
      <c r="N19" s="46" t="s">
        <v>1749</v>
      </c>
      <c r="O19" s="47" t="s">
        <v>1750</v>
      </c>
      <c r="P19" s="47" t="s">
        <v>1751</v>
      </c>
      <c r="Q19" s="46" t="s">
        <v>48</v>
      </c>
      <c r="R19" s="46" t="s">
        <v>48</v>
      </c>
      <c r="S19" s="46" t="s">
        <v>48</v>
      </c>
      <c r="T19" s="46" t="s">
        <v>48</v>
      </c>
      <c r="U19" s="47" t="s">
        <v>1752</v>
      </c>
      <c r="V19" s="46" t="s">
        <v>1753</v>
      </c>
      <c r="W19" s="46" t="s">
        <v>1754</v>
      </c>
      <c r="X19" s="46">
        <v>15</v>
      </c>
      <c r="Y19" s="46">
        <v>1</v>
      </c>
      <c r="Z19" s="46">
        <v>6</v>
      </c>
      <c r="AA19" s="46">
        <v>3</v>
      </c>
      <c r="AB19" s="46">
        <v>4</v>
      </c>
      <c r="AC19" s="46">
        <f t="shared" si="0"/>
        <v>0</v>
      </c>
      <c r="AD19" s="46">
        <f t="shared" si="1"/>
        <v>5</v>
      </c>
      <c r="AE19" s="46">
        <f t="shared" si="2"/>
        <v>34</v>
      </c>
      <c r="AF19" s="46" t="s">
        <v>355</v>
      </c>
    </row>
    <row r="20" spans="1:32" s="45" customFormat="1" x14ac:dyDescent="0.2">
      <c r="A20" s="46" t="s">
        <v>1657</v>
      </c>
      <c r="B20" s="46" t="s">
        <v>55</v>
      </c>
      <c r="C20" s="46" t="s">
        <v>1658</v>
      </c>
      <c r="D20" s="46" t="s">
        <v>1659</v>
      </c>
      <c r="E20" s="46" t="s">
        <v>1660</v>
      </c>
      <c r="F20" s="46" t="s">
        <v>1661</v>
      </c>
      <c r="G20" s="46" t="s">
        <v>1662</v>
      </c>
      <c r="H20" s="46" t="s">
        <v>94</v>
      </c>
      <c r="I20" s="46" t="s">
        <v>1663</v>
      </c>
      <c r="J20" s="46" t="s">
        <v>1664</v>
      </c>
      <c r="K20" s="46" t="s">
        <v>1665</v>
      </c>
      <c r="L20" s="46" t="s">
        <v>1666</v>
      </c>
      <c r="M20" s="46" t="s">
        <v>1667</v>
      </c>
      <c r="N20" s="46" t="s">
        <v>1668</v>
      </c>
      <c r="O20" s="47" t="s">
        <v>1669</v>
      </c>
      <c r="P20" s="47" t="s">
        <v>1670</v>
      </c>
      <c r="Q20" s="46" t="s">
        <v>48</v>
      </c>
      <c r="R20" s="46" t="s">
        <v>1671</v>
      </c>
      <c r="S20" s="46" t="s">
        <v>48</v>
      </c>
      <c r="T20" s="46" t="s">
        <v>1671</v>
      </c>
      <c r="U20" s="47" t="s">
        <v>1672</v>
      </c>
      <c r="V20" s="46" t="s">
        <v>1673</v>
      </c>
      <c r="W20" s="48"/>
      <c r="X20" s="46">
        <v>10</v>
      </c>
      <c r="Y20" s="46">
        <v>0</v>
      </c>
      <c r="Z20" s="46">
        <v>7</v>
      </c>
      <c r="AA20" s="46">
        <v>2</v>
      </c>
      <c r="AB20" s="46">
        <v>0</v>
      </c>
      <c r="AC20" s="46">
        <f t="shared" si="0"/>
        <v>0</v>
      </c>
      <c r="AD20" s="46">
        <f t="shared" si="1"/>
        <v>5</v>
      </c>
      <c r="AE20" s="46">
        <f t="shared" si="2"/>
        <v>24</v>
      </c>
      <c r="AF20" s="46" t="s">
        <v>53</v>
      </c>
    </row>
    <row r="21" spans="1:32" s="45" customFormat="1" ht="22" customHeight="1" x14ac:dyDescent="0.2">
      <c r="A21" s="46" t="s">
        <v>1933</v>
      </c>
      <c r="B21" s="46" t="s">
        <v>1994</v>
      </c>
      <c r="C21" s="46" t="s">
        <v>1934</v>
      </c>
      <c r="D21" s="46" t="s">
        <v>1935</v>
      </c>
      <c r="E21" s="46" t="s">
        <v>1936</v>
      </c>
      <c r="F21" s="46" t="s">
        <v>1937</v>
      </c>
      <c r="G21" s="46" t="s">
        <v>1938</v>
      </c>
      <c r="H21" s="46" t="s">
        <v>39</v>
      </c>
      <c r="I21" s="46" t="s">
        <v>1939</v>
      </c>
      <c r="J21" s="46" t="s">
        <v>1940</v>
      </c>
      <c r="K21" s="49" t="s">
        <v>1941</v>
      </c>
      <c r="L21" s="49" t="s">
        <v>1942</v>
      </c>
      <c r="M21" s="49" t="s">
        <v>1943</v>
      </c>
      <c r="N21" s="49" t="s">
        <v>1944</v>
      </c>
      <c r="O21" s="47" t="s">
        <v>1945</v>
      </c>
      <c r="P21" s="47" t="s">
        <v>1946</v>
      </c>
      <c r="Q21" s="46" t="s">
        <v>48</v>
      </c>
      <c r="R21" s="48"/>
      <c r="S21" s="46" t="s">
        <v>49</v>
      </c>
      <c r="T21" s="48"/>
      <c r="U21" s="47" t="s">
        <v>1947</v>
      </c>
      <c r="V21" s="46" t="s">
        <v>1948</v>
      </c>
      <c r="W21" s="46" t="s">
        <v>1948</v>
      </c>
      <c r="X21" s="46">
        <v>10</v>
      </c>
      <c r="Y21" s="46">
        <v>2</v>
      </c>
      <c r="Z21" s="46">
        <v>6</v>
      </c>
      <c r="AA21" s="46">
        <v>3</v>
      </c>
      <c r="AB21" s="46">
        <v>2</v>
      </c>
      <c r="AC21" s="46">
        <f t="shared" si="0"/>
        <v>5</v>
      </c>
      <c r="AD21" s="46">
        <f t="shared" si="1"/>
        <v>0</v>
      </c>
      <c r="AE21" s="46">
        <f t="shared" si="2"/>
        <v>28</v>
      </c>
      <c r="AF21" s="46" t="s">
        <v>53</v>
      </c>
    </row>
    <row r="22" spans="1:32" s="64" customFormat="1" ht="15" customHeight="1" x14ac:dyDescent="0.2">
      <c r="A22" s="60">
        <v>45771.619652777779</v>
      </c>
      <c r="B22" s="60" t="s">
        <v>1996</v>
      </c>
      <c r="C22" s="60" t="s">
        <v>388</v>
      </c>
      <c r="D22" s="60" t="s">
        <v>389</v>
      </c>
      <c r="E22" s="60" t="s">
        <v>389</v>
      </c>
      <c r="F22" s="61" t="s">
        <v>390</v>
      </c>
      <c r="G22" s="60">
        <v>256779216562</v>
      </c>
      <c r="H22" s="60" t="s">
        <v>39</v>
      </c>
      <c r="I22" s="60" t="s">
        <v>392</v>
      </c>
      <c r="J22" s="60" t="s">
        <v>393</v>
      </c>
      <c r="K22" s="62" t="s">
        <v>394</v>
      </c>
      <c r="L22" s="60" t="s">
        <v>395</v>
      </c>
      <c r="M22" s="60" t="s">
        <v>396</v>
      </c>
      <c r="N22" s="60" t="s">
        <v>397</v>
      </c>
      <c r="O22" s="61" t="s">
        <v>398</v>
      </c>
      <c r="P22" s="61" t="s">
        <v>399</v>
      </c>
      <c r="Q22" s="60" t="s">
        <v>48</v>
      </c>
      <c r="R22" s="60"/>
      <c r="S22" s="60" t="s">
        <v>49</v>
      </c>
      <c r="T22" s="60"/>
      <c r="U22" s="61" t="s">
        <v>400</v>
      </c>
      <c r="V22" s="63" t="s">
        <v>401</v>
      </c>
      <c r="W22" s="63" t="s">
        <v>402</v>
      </c>
      <c r="X22" s="63">
        <v>5</v>
      </c>
      <c r="Y22" s="63">
        <v>2</v>
      </c>
      <c r="Z22" s="63">
        <v>7</v>
      </c>
      <c r="AA22" s="63">
        <v>3</v>
      </c>
      <c r="AB22" s="63">
        <v>4</v>
      </c>
      <c r="AC22" s="60">
        <v>5</v>
      </c>
      <c r="AD22" s="60">
        <v>0</v>
      </c>
      <c r="AE22" s="63">
        <v>26</v>
      </c>
      <c r="AF22" s="63" t="s">
        <v>53</v>
      </c>
    </row>
    <row r="23" spans="1:32" s="45" customFormat="1" x14ac:dyDescent="0.2">
      <c r="A23" s="46" t="s">
        <v>635</v>
      </c>
      <c r="B23" s="46" t="s">
        <v>106</v>
      </c>
      <c r="C23" s="46" t="s">
        <v>636</v>
      </c>
      <c r="D23" s="46" t="s">
        <v>637</v>
      </c>
      <c r="E23" s="46" t="s">
        <v>638</v>
      </c>
      <c r="F23" s="46" t="s">
        <v>639</v>
      </c>
      <c r="G23" s="46" t="s">
        <v>640</v>
      </c>
      <c r="H23" s="46" t="s">
        <v>94</v>
      </c>
      <c r="I23" s="46" t="s">
        <v>641</v>
      </c>
      <c r="J23" s="46" t="s">
        <v>642</v>
      </c>
      <c r="K23" s="46" t="s">
        <v>643</v>
      </c>
      <c r="L23" s="46" t="s">
        <v>644</v>
      </c>
      <c r="M23" s="46" t="s">
        <v>645</v>
      </c>
      <c r="N23" s="46" t="s">
        <v>646</v>
      </c>
      <c r="O23" s="47" t="s">
        <v>647</v>
      </c>
      <c r="P23" s="47" t="s">
        <v>648</v>
      </c>
      <c r="Q23" s="46" t="s">
        <v>48</v>
      </c>
      <c r="R23" s="48"/>
      <c r="S23" s="46" t="s">
        <v>49</v>
      </c>
      <c r="T23" s="48"/>
      <c r="U23" s="47" t="s">
        <v>649</v>
      </c>
      <c r="V23" s="46" t="s">
        <v>650</v>
      </c>
      <c r="W23" s="46" t="s">
        <v>650</v>
      </c>
      <c r="X23" s="46">
        <v>15</v>
      </c>
      <c r="Y23" s="46">
        <v>1</v>
      </c>
      <c r="Z23" s="46">
        <v>7</v>
      </c>
      <c r="AA23" s="46">
        <v>3</v>
      </c>
      <c r="AB23" s="46">
        <v>2</v>
      </c>
      <c r="AC23" s="46">
        <f t="shared" ref="AC23:AC24" si="3">IF(B23="Ghana",0,5)</f>
        <v>5</v>
      </c>
      <c r="AD23" s="46">
        <f t="shared" ref="AD23:AD24" si="4">IF(H23="Female",5,0)</f>
        <v>5</v>
      </c>
      <c r="AE23" s="46">
        <f t="shared" ref="AE23:AE24" si="5">SUM(X23:AD23)</f>
        <v>38</v>
      </c>
      <c r="AF23" s="46" t="s">
        <v>355</v>
      </c>
    </row>
    <row r="24" spans="1:32" s="45" customFormat="1" ht="15.75" customHeight="1" x14ac:dyDescent="0.2">
      <c r="A24" s="57" t="s">
        <v>1225</v>
      </c>
      <c r="B24" s="57" t="s">
        <v>1989</v>
      </c>
      <c r="C24" s="57" t="s">
        <v>1226</v>
      </c>
      <c r="D24" s="57" t="s">
        <v>1227</v>
      </c>
      <c r="E24" s="57" t="s">
        <v>1228</v>
      </c>
      <c r="F24" s="57" t="s">
        <v>1229</v>
      </c>
      <c r="G24" s="57" t="s">
        <v>1230</v>
      </c>
      <c r="H24" s="57" t="s">
        <v>94</v>
      </c>
      <c r="I24" s="57" t="s">
        <v>1231</v>
      </c>
      <c r="J24" s="57" t="s">
        <v>1232</v>
      </c>
      <c r="K24" s="58" t="s">
        <v>1233</v>
      </c>
      <c r="L24" s="58" t="s">
        <v>1234</v>
      </c>
      <c r="M24" s="57" t="s">
        <v>1235</v>
      </c>
      <c r="N24" s="57" t="s">
        <v>1236</v>
      </c>
      <c r="O24" s="59" t="s">
        <v>1237</v>
      </c>
      <c r="P24" s="59" t="s">
        <v>1238</v>
      </c>
      <c r="Q24" s="57" t="s">
        <v>48</v>
      </c>
      <c r="R24" s="57" t="s">
        <v>1239</v>
      </c>
      <c r="S24" s="57" t="s">
        <v>49</v>
      </c>
      <c r="T24" s="57"/>
      <c r="U24" s="59" t="s">
        <v>1240</v>
      </c>
      <c r="V24" s="57" t="s">
        <v>1241</v>
      </c>
      <c r="W24" s="57" t="s">
        <v>1242</v>
      </c>
      <c r="X24" s="57">
        <v>10</v>
      </c>
      <c r="Y24" s="57">
        <v>0</v>
      </c>
      <c r="Z24" s="57">
        <v>3</v>
      </c>
      <c r="AA24" s="57">
        <v>4</v>
      </c>
      <c r="AB24" s="57">
        <v>4</v>
      </c>
      <c r="AC24" s="57">
        <f t="shared" si="3"/>
        <v>5</v>
      </c>
      <c r="AD24" s="57">
        <f t="shared" si="4"/>
        <v>5</v>
      </c>
      <c r="AE24" s="57">
        <f t="shared" si="5"/>
        <v>31</v>
      </c>
      <c r="AF24" s="57" t="s">
        <v>53</v>
      </c>
    </row>
    <row r="25" spans="1:32" ht="15" customHeight="1" x14ac:dyDescent="0.2">
      <c r="E25" s="65"/>
    </row>
    <row r="27" spans="1:32" s="56" customFormat="1" ht="15" customHeight="1" x14ac:dyDescent="0.2">
      <c r="A27" s="54" t="s">
        <v>1996</v>
      </c>
      <c r="B27" s="54" t="s">
        <v>1997</v>
      </c>
      <c r="C27" s="54" t="s">
        <v>1998</v>
      </c>
      <c r="D27" s="54" t="s">
        <v>94</v>
      </c>
      <c r="E27" s="54" t="s">
        <v>1999</v>
      </c>
      <c r="F27" s="55" t="s">
        <v>2000</v>
      </c>
    </row>
    <row r="28" spans="1:32" s="56" customFormat="1" ht="15" customHeight="1" x14ac:dyDescent="0.2">
      <c r="A28" s="54" t="s">
        <v>239</v>
      </c>
      <c r="B28" s="54" t="s">
        <v>2004</v>
      </c>
      <c r="C28" s="54" t="s">
        <v>2001</v>
      </c>
      <c r="D28" s="54" t="s">
        <v>94</v>
      </c>
      <c r="E28" s="54" t="s">
        <v>2002</v>
      </c>
      <c r="F28" s="55" t="s">
        <v>2003</v>
      </c>
    </row>
    <row r="30" spans="1:32" s="53" customFormat="1" x14ac:dyDescent="0.2">
      <c r="A30" s="50" t="s">
        <v>1001</v>
      </c>
      <c r="B30" s="50" t="s">
        <v>106</v>
      </c>
      <c r="C30" s="50" t="s">
        <v>1002</v>
      </c>
      <c r="D30" s="50" t="s">
        <v>1003</v>
      </c>
      <c r="E30" s="50" t="s">
        <v>1004</v>
      </c>
      <c r="F30" s="50" t="s">
        <v>1005</v>
      </c>
      <c r="G30" s="50" t="s">
        <v>1006</v>
      </c>
      <c r="H30" s="50" t="s">
        <v>39</v>
      </c>
      <c r="I30" s="50" t="s">
        <v>1007</v>
      </c>
      <c r="J30" s="50" t="s">
        <v>1008</v>
      </c>
      <c r="K30" s="50" t="s">
        <v>1009</v>
      </c>
      <c r="L30" s="50" t="s">
        <v>1010</v>
      </c>
      <c r="M30" s="50" t="s">
        <v>1011</v>
      </c>
      <c r="N30" s="50" t="s">
        <v>1012</v>
      </c>
      <c r="O30" s="51" t="s">
        <v>1013</v>
      </c>
      <c r="P30" s="51" t="s">
        <v>1014</v>
      </c>
      <c r="Q30" s="50" t="s">
        <v>48</v>
      </c>
      <c r="R30" s="52"/>
      <c r="S30" s="50" t="s">
        <v>48</v>
      </c>
      <c r="T30" s="52"/>
      <c r="U30" s="51" t="s">
        <v>1015</v>
      </c>
      <c r="V30" s="50" t="s">
        <v>1016</v>
      </c>
      <c r="W30" s="52"/>
      <c r="X30" s="50">
        <v>20</v>
      </c>
      <c r="Y30" s="52"/>
      <c r="Z30" s="52"/>
      <c r="AA30" s="52"/>
      <c r="AB30" s="52"/>
      <c r="AC30" s="50">
        <f t="shared" ref="AC30:AC32" si="6">IF(B30="Ghana",0,5)</f>
        <v>5</v>
      </c>
      <c r="AD30" s="50">
        <f t="shared" ref="AD30:AD32" si="7">IF(H30="Female",5,0)</f>
        <v>0</v>
      </c>
      <c r="AE30" s="50">
        <f t="shared" ref="AE30:AE32" si="8">SUM(X30:AD30)</f>
        <v>25</v>
      </c>
      <c r="AF30" s="52"/>
    </row>
    <row r="31" spans="1:32" s="53" customFormat="1" x14ac:dyDescent="0.2">
      <c r="A31" s="50" t="s">
        <v>901</v>
      </c>
      <c r="B31" s="50" t="s">
        <v>106</v>
      </c>
      <c r="C31" s="50" t="s">
        <v>902</v>
      </c>
      <c r="D31" s="50" t="s">
        <v>903</v>
      </c>
      <c r="E31" s="50" t="s">
        <v>904</v>
      </c>
      <c r="F31" s="50" t="s">
        <v>905</v>
      </c>
      <c r="G31" s="50" t="s">
        <v>906</v>
      </c>
      <c r="H31" s="50" t="s">
        <v>39</v>
      </c>
      <c r="I31" s="50" t="s">
        <v>907</v>
      </c>
      <c r="J31" s="50" t="s">
        <v>908</v>
      </c>
      <c r="K31" s="50" t="s">
        <v>909</v>
      </c>
      <c r="L31" s="50" t="s">
        <v>910</v>
      </c>
      <c r="M31" s="50" t="s">
        <v>911</v>
      </c>
      <c r="N31" s="50" t="s">
        <v>912</v>
      </c>
      <c r="O31" s="51" t="s">
        <v>913</v>
      </c>
      <c r="P31" s="51" t="s">
        <v>914</v>
      </c>
      <c r="Q31" s="50" t="s">
        <v>48</v>
      </c>
      <c r="R31" s="50" t="s">
        <v>48</v>
      </c>
      <c r="S31" s="50" t="s">
        <v>48</v>
      </c>
      <c r="T31" s="50" t="s">
        <v>48</v>
      </c>
      <c r="U31" s="51" t="s">
        <v>915</v>
      </c>
      <c r="V31" s="50" t="s">
        <v>916</v>
      </c>
      <c r="W31" s="50" t="s">
        <v>916</v>
      </c>
      <c r="X31" s="50">
        <v>15</v>
      </c>
      <c r="Y31" s="50">
        <v>0</v>
      </c>
      <c r="Z31" s="50">
        <v>8</v>
      </c>
      <c r="AA31" s="50">
        <v>3</v>
      </c>
      <c r="AB31" s="50">
        <v>2</v>
      </c>
      <c r="AC31" s="50">
        <f t="shared" si="6"/>
        <v>5</v>
      </c>
      <c r="AD31" s="50">
        <f t="shared" si="7"/>
        <v>0</v>
      </c>
      <c r="AE31" s="50">
        <f t="shared" si="8"/>
        <v>33</v>
      </c>
      <c r="AF31" s="50" t="s">
        <v>355</v>
      </c>
    </row>
    <row r="32" spans="1:32" s="53" customFormat="1" x14ac:dyDescent="0.2">
      <c r="A32" s="50" t="s">
        <v>371</v>
      </c>
      <c r="B32" s="50" t="s">
        <v>55</v>
      </c>
      <c r="C32" s="50" t="s">
        <v>372</v>
      </c>
      <c r="D32" s="50" t="s">
        <v>373</v>
      </c>
      <c r="E32" s="50" t="s">
        <v>374</v>
      </c>
      <c r="F32" s="50" t="s">
        <v>375</v>
      </c>
      <c r="G32" s="50" t="s">
        <v>376</v>
      </c>
      <c r="H32" s="50" t="s">
        <v>39</v>
      </c>
      <c r="I32" s="50" t="s">
        <v>377</v>
      </c>
      <c r="J32" s="50" t="s">
        <v>378</v>
      </c>
      <c r="K32" s="50" t="s">
        <v>379</v>
      </c>
      <c r="L32" s="50" t="s">
        <v>380</v>
      </c>
      <c r="M32" s="50" t="s">
        <v>381</v>
      </c>
      <c r="N32" s="50" t="s">
        <v>382</v>
      </c>
      <c r="O32" s="51" t="s">
        <v>383</v>
      </c>
      <c r="P32" s="51" t="s">
        <v>384</v>
      </c>
      <c r="Q32" s="50" t="s">
        <v>48</v>
      </c>
      <c r="R32" s="52"/>
      <c r="S32" s="50" t="s">
        <v>48</v>
      </c>
      <c r="T32" s="52"/>
      <c r="U32" s="51" t="s">
        <v>385</v>
      </c>
      <c r="V32" s="50" t="s">
        <v>386</v>
      </c>
      <c r="W32" s="50" t="s">
        <v>386</v>
      </c>
      <c r="X32" s="50">
        <v>10</v>
      </c>
      <c r="Y32" s="50">
        <v>1</v>
      </c>
      <c r="Z32" s="50">
        <v>6</v>
      </c>
      <c r="AA32" s="50">
        <v>3</v>
      </c>
      <c r="AB32" s="50">
        <v>4</v>
      </c>
      <c r="AC32" s="50">
        <f t="shared" si="6"/>
        <v>0</v>
      </c>
      <c r="AD32" s="50">
        <f t="shared" si="7"/>
        <v>0</v>
      </c>
      <c r="AE32" s="50">
        <f t="shared" si="8"/>
        <v>24</v>
      </c>
      <c r="AF32" s="50" t="s">
        <v>355</v>
      </c>
    </row>
  </sheetData>
  <autoFilter ref="A1:AF21" xr:uid="{00000000-0009-0000-0000-000003000000}"/>
  <hyperlinks>
    <hyperlink ref="T1" r:id="rId1" xr:uid="{00000000-0004-0000-0300-000000000000}"/>
    <hyperlink ref="O2" r:id="rId2" xr:uid="{00000000-0004-0000-0300-000004000000}"/>
    <hyperlink ref="P2" r:id="rId3" xr:uid="{00000000-0004-0000-0300-000005000000}"/>
    <hyperlink ref="U2" r:id="rId4" xr:uid="{00000000-0004-0000-0300-000006000000}"/>
    <hyperlink ref="O3" r:id="rId5" xr:uid="{00000000-0004-0000-0300-000007000000}"/>
    <hyperlink ref="P3" r:id="rId6" xr:uid="{00000000-0004-0000-0300-000008000000}"/>
    <hyperlink ref="U3" r:id="rId7" xr:uid="{00000000-0004-0000-0300-000009000000}"/>
    <hyperlink ref="O4" r:id="rId8" xr:uid="{00000000-0004-0000-0300-00000A000000}"/>
    <hyperlink ref="P4" r:id="rId9" xr:uid="{00000000-0004-0000-0300-00000B000000}"/>
    <hyperlink ref="U4" r:id="rId10" xr:uid="{00000000-0004-0000-0300-00000C000000}"/>
    <hyperlink ref="O5" r:id="rId11" xr:uid="{00000000-0004-0000-0300-00000D000000}"/>
    <hyperlink ref="P5" r:id="rId12" xr:uid="{00000000-0004-0000-0300-00000E000000}"/>
    <hyperlink ref="U5" r:id="rId13" xr:uid="{00000000-0004-0000-0300-00000F000000}"/>
    <hyperlink ref="O6" r:id="rId14" xr:uid="{00000000-0004-0000-0300-000010000000}"/>
    <hyperlink ref="P6" r:id="rId15" xr:uid="{00000000-0004-0000-0300-000011000000}"/>
    <hyperlink ref="U6" r:id="rId16" xr:uid="{00000000-0004-0000-0300-000012000000}"/>
    <hyperlink ref="O7" r:id="rId17" xr:uid="{00000000-0004-0000-0300-000013000000}"/>
    <hyperlink ref="P7" r:id="rId18" xr:uid="{00000000-0004-0000-0300-000014000000}"/>
    <hyperlink ref="U7" r:id="rId19" xr:uid="{00000000-0004-0000-0300-000015000000}"/>
    <hyperlink ref="O8" r:id="rId20" xr:uid="{00000000-0004-0000-0300-000016000000}"/>
    <hyperlink ref="P8" r:id="rId21" xr:uid="{00000000-0004-0000-0300-000017000000}"/>
    <hyperlink ref="U8" r:id="rId22" xr:uid="{00000000-0004-0000-0300-000018000000}"/>
    <hyperlink ref="O9" r:id="rId23" xr:uid="{00000000-0004-0000-0300-000019000000}"/>
    <hyperlink ref="P9" r:id="rId24" xr:uid="{00000000-0004-0000-0300-00001A000000}"/>
    <hyperlink ref="U9" r:id="rId25" xr:uid="{00000000-0004-0000-0300-00001B000000}"/>
    <hyperlink ref="O10" r:id="rId26" xr:uid="{00000000-0004-0000-0300-00001C000000}"/>
    <hyperlink ref="P10" r:id="rId27" xr:uid="{00000000-0004-0000-0300-00001D000000}"/>
    <hyperlink ref="U10" r:id="rId28" xr:uid="{00000000-0004-0000-0300-00001E000000}"/>
    <hyperlink ref="O11" r:id="rId29" xr:uid="{00000000-0004-0000-0300-00001F000000}"/>
    <hyperlink ref="P11" r:id="rId30" xr:uid="{00000000-0004-0000-0300-000020000000}"/>
    <hyperlink ref="U11" r:id="rId31" xr:uid="{00000000-0004-0000-0300-000021000000}"/>
    <hyperlink ref="O12" r:id="rId32" xr:uid="{00000000-0004-0000-0300-000022000000}"/>
    <hyperlink ref="P12" r:id="rId33" xr:uid="{00000000-0004-0000-0300-000023000000}"/>
    <hyperlink ref="U12" r:id="rId34" xr:uid="{00000000-0004-0000-0300-000024000000}"/>
    <hyperlink ref="O13" r:id="rId35" xr:uid="{00000000-0004-0000-0300-000028000000}"/>
    <hyperlink ref="P13" r:id="rId36" xr:uid="{00000000-0004-0000-0300-000029000000}"/>
    <hyperlink ref="U13" r:id="rId37" xr:uid="{00000000-0004-0000-0300-00002A000000}"/>
    <hyperlink ref="O14" r:id="rId38" xr:uid="{00000000-0004-0000-0300-00002B000000}"/>
    <hyperlink ref="P14" r:id="rId39" xr:uid="{00000000-0004-0000-0300-00002C000000}"/>
    <hyperlink ref="U14" r:id="rId40" xr:uid="{00000000-0004-0000-0300-00002D000000}"/>
    <hyperlink ref="O15" r:id="rId41" xr:uid="{00000000-0004-0000-0300-000031000000}"/>
    <hyperlink ref="P15" r:id="rId42" xr:uid="{00000000-0004-0000-0300-000032000000}"/>
    <hyperlink ref="U15" r:id="rId43" xr:uid="{00000000-0004-0000-0300-000033000000}"/>
    <hyperlink ref="O16" r:id="rId44" xr:uid="{00000000-0004-0000-0300-000037000000}"/>
    <hyperlink ref="P16" r:id="rId45" xr:uid="{00000000-0004-0000-0300-000038000000}"/>
    <hyperlink ref="U16" r:id="rId46" xr:uid="{00000000-0004-0000-0300-000039000000}"/>
    <hyperlink ref="O17" r:id="rId47" xr:uid="{00000000-0004-0000-0300-00003A000000}"/>
    <hyperlink ref="P17" r:id="rId48" xr:uid="{00000000-0004-0000-0300-00003B000000}"/>
    <hyperlink ref="U17" r:id="rId49" xr:uid="{00000000-0004-0000-0300-00003C000000}"/>
    <hyperlink ref="O18" r:id="rId50" xr:uid="{00000000-0004-0000-0300-00003D000000}"/>
    <hyperlink ref="P18" r:id="rId51" xr:uid="{00000000-0004-0000-0300-00003E000000}"/>
    <hyperlink ref="U18" r:id="rId52" xr:uid="{00000000-0004-0000-0300-00003F000000}"/>
    <hyperlink ref="O19" r:id="rId53" xr:uid="{00000000-0004-0000-0300-000040000000}"/>
    <hyperlink ref="P19" r:id="rId54" xr:uid="{00000000-0004-0000-0300-000041000000}"/>
    <hyperlink ref="U19" r:id="rId55" xr:uid="{00000000-0004-0000-0300-000042000000}"/>
    <hyperlink ref="O20" r:id="rId56" xr:uid="{00000000-0004-0000-0300-000043000000}"/>
    <hyperlink ref="P20" r:id="rId57" xr:uid="{00000000-0004-0000-0300-000044000000}"/>
    <hyperlink ref="U20" r:id="rId58" xr:uid="{00000000-0004-0000-0300-000045000000}"/>
    <hyperlink ref="O21" r:id="rId59" xr:uid="{00000000-0004-0000-0300-000049000000}"/>
    <hyperlink ref="P21" r:id="rId60" xr:uid="{00000000-0004-0000-0300-00004A000000}"/>
    <hyperlink ref="U21" r:id="rId61" xr:uid="{00000000-0004-0000-0300-00004B000000}"/>
    <hyperlink ref="O22" r:id="rId62" xr:uid="{047D0BFF-A549-BF47-B617-548ED01FCBDB}"/>
    <hyperlink ref="P22" r:id="rId63" xr:uid="{B5030926-D83C-EB4E-9E70-A3F28E49C91F}"/>
    <hyperlink ref="U22" r:id="rId64" xr:uid="{E1063D88-A224-1144-AC3C-280F2D8717B0}"/>
    <hyperlink ref="F22" r:id="rId65" xr:uid="{71CAF8CA-59C0-D345-970F-6F0C641462FA}"/>
    <hyperlink ref="O23" r:id="rId66" xr:uid="{522FC57B-12BB-C24F-BDA9-86571F294F79}"/>
    <hyperlink ref="P23" r:id="rId67" xr:uid="{675310EA-58FF-0F42-B9E4-4C2A061EA31B}"/>
    <hyperlink ref="U23" r:id="rId68" xr:uid="{A05B867E-143F-1549-A8AD-FEE2FDFA0C94}"/>
    <hyperlink ref="O24" r:id="rId69" xr:uid="{2611295B-DFCA-5849-96EC-C351D2C383D9}"/>
    <hyperlink ref="P24" r:id="rId70" xr:uid="{05134A88-4A93-E44C-951D-95C391C29D77}"/>
    <hyperlink ref="U24" r:id="rId71" xr:uid="{68CAF38C-5ACB-4B41-A810-FEFA4B066D5D}"/>
    <hyperlink ref="O30" r:id="rId72" xr:uid="{94DA0280-AB3D-7443-9073-3C215068D002}"/>
    <hyperlink ref="P30" r:id="rId73" xr:uid="{7D5FBB2F-A9D3-584E-B436-1316873690B5}"/>
    <hyperlink ref="U30" r:id="rId74" xr:uid="{32964E1C-39A2-604D-A861-E7BEADCE12B0}"/>
    <hyperlink ref="O31" r:id="rId75" xr:uid="{7622C10F-42AA-524A-B7DD-79930E509678}"/>
    <hyperlink ref="P31" r:id="rId76" xr:uid="{C0127EA5-0610-E042-9A84-B99EBF7875B6}"/>
    <hyperlink ref="U31" r:id="rId77" xr:uid="{B9006C9A-7C6A-A747-8760-807C036165A1}"/>
    <hyperlink ref="O32" r:id="rId78" xr:uid="{D8A4D833-774A-F044-BDB6-4C327B0809E5}"/>
    <hyperlink ref="P32" r:id="rId79" xr:uid="{A29517CD-CC89-5E47-A1B8-07885B9F43D2}"/>
    <hyperlink ref="U32" r:id="rId80" xr:uid="{AED0F961-BF97-9C4A-81ED-4EF52B5B53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Sorted</vt:lpstr>
      <vt:lpstr>Old Selection</vt:lpstr>
      <vt:lpstr>Final Selection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16980712369768357717472305434</cp:lastModifiedBy>
  <dcterms:created xsi:type="dcterms:W3CDTF">2025-07-08T13:50:07Z</dcterms:created>
  <dcterms:modified xsi:type="dcterms:W3CDTF">2025-07-10T13:39:46Z</dcterms:modified>
</cp:coreProperties>
</file>